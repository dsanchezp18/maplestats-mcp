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defaultThemeVersion="124226"/>
  <mc:AlternateContent xmlns:mc="http://schemas.openxmlformats.org/markup-compatibility/2006">
    <mc:Choice Requires="x15">
      <x15ac:absPath xmlns:x15ac="http://schemas.microsoft.com/office/spreadsheetml/2010/11/ac" url="M:\EFP\ERF\Economics\PUBLICATIONS_Analysis\Weekly_Reference\Weekly - Files to UPLOAD\"/>
    </mc:Choice>
  </mc:AlternateContent>
  <xr:revisionPtr revIDLastSave="0" documentId="13_ncr:1_{8150D8D2-D0C1-4805-92C9-914C2E29A75F}" xr6:coauthVersionLast="47" xr6:coauthVersionMax="47" xr10:uidLastSave="{00000000-0000-0000-0000-000000000000}"/>
  <bookViews>
    <workbookView xWindow="25080" yWindow="-120" windowWidth="25440" windowHeight="15270" tabRatio="943" firstSheet="5" activeTab="15" xr2:uid="{00000000-000D-0000-FFFF-FFFF00000000}"/>
  </bookViews>
  <sheets>
    <sheet name="Time Series" sheetId="20" r:id="rId1"/>
    <sheet name="Table" sheetId="12" r:id="rId2"/>
    <sheet name="1) Oil Prices" sheetId="21" r:id="rId3"/>
    <sheet name="2) Economic Activity" sheetId="14" r:id="rId4"/>
    <sheet name="3) Labour 1" sheetId="23" r:id="rId5"/>
    <sheet name="4) Labour 2 " sheetId="24" r:id="rId6"/>
    <sheet name="5) Business Output" sheetId="22" r:id="rId7"/>
    <sheet name="6) Rigs" sheetId="25" r:id="rId8"/>
    <sheet name="7) Housing" sheetId="27" r:id="rId9"/>
    <sheet name="8) Inflation, AWE &amp; Retail" sheetId="26" r:id="rId10"/>
    <sheet name="9) Real GDP" sheetId="1" r:id="rId11"/>
    <sheet name="10) CPI" sheetId="2" r:id="rId12"/>
    <sheet name="11) UnemploymentRate" sheetId="3" r:id="rId13"/>
    <sheet name="12) Employment" sheetId="4" r:id="rId14"/>
    <sheet name="13) Avg Weekly Earnings" sheetId="5" r:id="rId15"/>
    <sheet name="14) Housing" sheetId="6" r:id="rId16"/>
  </sheets>
  <externalReferences>
    <externalReference r:id="rId17"/>
  </externalReferences>
  <definedNames>
    <definedName name="_DLX14.INC">#REF!</definedName>
    <definedName name="_DLX17.INC">'7) Housing'!#REF!</definedName>
    <definedName name="_DLX19.INC">#REF!</definedName>
    <definedName name="_DLX2.INC" localSheetId="7">'[1]4) Labour 2 '!#REF!</definedName>
    <definedName name="_DLX2.INC" localSheetId="8">'[1]4) Labour 2 '!#REF!</definedName>
    <definedName name="_DLX2.INC" localSheetId="9">'[1]4) Labour 2 '!#REF!</definedName>
    <definedName name="_DLX2.INC">'4) Labour 2 '!#REF!</definedName>
    <definedName name="_DLX20.INC">#REF!</definedName>
    <definedName name="_DLX24.INC">#REF!</definedName>
    <definedName name="_DLX25.INC" localSheetId="8">'[1]6) Inflation &amp;Avg Wkly Earn'!#REF!</definedName>
    <definedName name="_DLX25.INC">'8) Inflation, AWE &amp; Retail'!#REF!</definedName>
    <definedName name="_DLX26.INC">#REF!</definedName>
    <definedName name="_DLX27.INC" localSheetId="4">'[1]2) Business Output'!#REF!</definedName>
    <definedName name="_DLX27.INC" localSheetId="5">'[1]2) Business Output'!#REF!</definedName>
    <definedName name="_DLX27.INC" localSheetId="7">'[1]2) Business Output'!#REF!</definedName>
    <definedName name="_DLX27.INC" localSheetId="8">'[1]2) Business Output'!#REF!</definedName>
    <definedName name="_DLX27.INC" localSheetId="9">'[1]2) Business Output'!#REF!</definedName>
    <definedName name="_DLX27.INC">'5) Business Output'!#REF!</definedName>
    <definedName name="_DLX28.INC" localSheetId="4">'[1]1) Oil Prices'!#REF!</definedName>
    <definedName name="_DLX28.INC" localSheetId="5">'[1]1) Oil Prices'!#REF!</definedName>
    <definedName name="_DLX28.INC" localSheetId="6">'[1]1) Oil Prices'!#REF!</definedName>
    <definedName name="_DLX28.INC" localSheetId="7">'[1]1) Oil Prices'!#REF!</definedName>
    <definedName name="_DLX28.INC" localSheetId="8">'[1]1) Oil Prices'!#REF!</definedName>
    <definedName name="_DLX28.INC" localSheetId="9">'[1]1) Oil Prices'!#REF!</definedName>
    <definedName name="_DLX28.INC">'1) Oil Prices'!#REF!</definedName>
    <definedName name="_DLX29.INC" localSheetId="5">'[1]3) Labour 1'!#REF!</definedName>
    <definedName name="_DLX29.INC" localSheetId="7">'[1]3) Labour 1'!#REF!</definedName>
    <definedName name="_DLX29.INC" localSheetId="8">'[1]3) Labour 1'!#REF!</definedName>
    <definedName name="_DLX29.INC" localSheetId="9">'[1]3) Labour 1'!#REF!</definedName>
    <definedName name="_DLX29.INC">'3) Labour 1'!#REF!</definedName>
    <definedName name="_DLX30.INC" localSheetId="5">'[1]3) Labour 1'!#REF!</definedName>
    <definedName name="_DLX30.INC" localSheetId="7">'[1]3) Labour 1'!#REF!</definedName>
    <definedName name="_DLX30.INC" localSheetId="8">'[1]3) Labour 1'!#REF!</definedName>
    <definedName name="_DLX30.INC" localSheetId="9">'[1]3) Labour 1'!#REF!</definedName>
    <definedName name="_DLX30.INC">'3) Labour 1'!#REF!</definedName>
    <definedName name="_DLX5.INC" localSheetId="7">'[1]4) Labour 2 '!#REF!</definedName>
    <definedName name="_DLX5.INC" localSheetId="8">'[1]4) Labour 2 '!#REF!</definedName>
    <definedName name="_DLX5.INC" localSheetId="9">'[1]4) Labour 2 '!#REF!</definedName>
    <definedName name="_DLX5.INC">'4) Labour 2 '!#REF!</definedName>
    <definedName name="_DLX8.INC">#REF!</definedName>
    <definedName name="dataday">Table!$A$93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9" i="21" l="1"/>
  <c r="A92" i="12" l="1"/>
  <c r="A1" i="12" s="1"/>
  <c r="A93" i="12"/>
  <c r="A68" i="12" l="1"/>
  <c r="A340" i="21" s="1"/>
  <c r="A159" i="14" l="1"/>
  <c r="A16" i="23" l="1"/>
  <c r="A36" i="27" l="1"/>
  <c r="A36" i="22"/>
  <c r="A76" i="24"/>
  <c r="A110" i="25"/>
  <c r="A40" i="26"/>
  <c r="A14" i="6" l="1"/>
  <c r="A17" i="5"/>
  <c r="A17" i="4"/>
  <c r="A17" i="3"/>
  <c r="A17" i="2"/>
  <c r="A17" i="1"/>
</calcChain>
</file>

<file path=xl/sharedStrings.xml><?xml version="1.0" encoding="utf-8"?>
<sst xmlns="http://schemas.openxmlformats.org/spreadsheetml/2006/main" count="438" uniqueCount="297">
  <si>
    <t>Consumer Price Index</t>
  </si>
  <si>
    <t>Canada</t>
  </si>
  <si>
    <t>Newfoundland and Labrador</t>
  </si>
  <si>
    <t>Prince Edward Island</t>
  </si>
  <si>
    <t>Nova Scotia</t>
  </si>
  <si>
    <t>New Brunswick</t>
  </si>
  <si>
    <t>Quebec</t>
  </si>
  <si>
    <t>Ontario</t>
  </si>
  <si>
    <t>Manitoba</t>
  </si>
  <si>
    <t>Saskatchewan</t>
  </si>
  <si>
    <t>Alberta</t>
  </si>
  <si>
    <t>British Columbia</t>
  </si>
  <si>
    <t>Source: Statistics Canada</t>
  </si>
  <si>
    <t>same period in the previous year. “SA” denotes seasonally adjusted. "SAAR" denotes seasonally adjusted at annual rate.</t>
  </si>
  <si>
    <r>
      <rPr>
        <b/>
        <vertAlign val="superscript"/>
        <sz val="8.5"/>
        <rFont val="Arial"/>
        <family val="2"/>
      </rPr>
      <t>2</t>
    </r>
    <r>
      <rPr>
        <b/>
        <sz val="8.5"/>
        <rFont val="Arial"/>
        <family val="2"/>
      </rPr>
      <t>Quarterly, average of Calgary and Edmonton</t>
    </r>
  </si>
  <si>
    <t xml:space="preserve">y/y % change </t>
  </si>
  <si>
    <t>Labour Market</t>
  </si>
  <si>
    <t>Consumer Price Index (y/y % change)</t>
  </si>
  <si>
    <t>Household Sector</t>
  </si>
  <si>
    <t>Business Sector</t>
  </si>
  <si>
    <t>Population (thousands)</t>
  </si>
  <si>
    <t>Employment (thousands, SA)</t>
  </si>
  <si>
    <t>m/m change (thousands)</t>
  </si>
  <si>
    <t>Unemployment Rate (%, SA)</t>
  </si>
  <si>
    <t>Participation Rate (%, SA)</t>
  </si>
  <si>
    <t>Average Weekly Earnings ($, SA)</t>
  </si>
  <si>
    <t>New Vehicle Sales (units, thousands)</t>
  </si>
  <si>
    <t xml:space="preserve">Excluding Food &amp; Energy </t>
  </si>
  <si>
    <t>Consumer Bankruptcies (level)</t>
  </si>
  <si>
    <t xml:space="preserve">y/y% change </t>
  </si>
  <si>
    <t>Rigs Drilling</t>
  </si>
  <si>
    <t xml:space="preserve">Net Interprovincial Migration  </t>
  </si>
  <si>
    <t xml:space="preserve">Net International Migration  </t>
  </si>
  <si>
    <t xml:space="preserve">y/y % change  </t>
  </si>
  <si>
    <t>New Housing Price Index (y/y % change)</t>
  </si>
  <si>
    <t>National Comparisons</t>
  </si>
  <si>
    <t>Time Series</t>
  </si>
  <si>
    <t>Source: Canada Mortgage and Housing Corporation</t>
  </si>
  <si>
    <t>Atlantic</t>
  </si>
  <si>
    <t>Economic Activity</t>
  </si>
  <si>
    <t>Alberta Activity Index (y/y % change)</t>
  </si>
  <si>
    <t>WTI-WCS (US$/bbl)</t>
  </si>
  <si>
    <t>WTI (US$/bbl)</t>
  </si>
  <si>
    <t>WCS (US$/bbl)</t>
  </si>
  <si>
    <t>Business Output</t>
  </si>
  <si>
    <t>Labour Market (1)</t>
  </si>
  <si>
    <t>Inflation, Earnings and Retail Sales</t>
  </si>
  <si>
    <t xml:space="preserve">Housing Market Activity </t>
  </si>
  <si>
    <t>9) Real GDP</t>
  </si>
  <si>
    <t>10) CPI</t>
  </si>
  <si>
    <t>11) Unemployment</t>
  </si>
  <si>
    <t>12) Employment</t>
  </si>
  <si>
    <t>13) Average Weekly Earnings</t>
  </si>
  <si>
    <t>14) Housing</t>
  </si>
  <si>
    <t>1) Oil Prices</t>
  </si>
  <si>
    <t>2) Business Output</t>
  </si>
  <si>
    <t>3) Labour Market 1</t>
  </si>
  <si>
    <t>4) Labour Market 2</t>
  </si>
  <si>
    <t>5) Rigs</t>
  </si>
  <si>
    <t>6) Inflation, AWE, Retail</t>
  </si>
  <si>
    <t>7) Housing Market</t>
  </si>
  <si>
    <t>7) Economic Activity</t>
  </si>
  <si>
    <t>Source: Statistics Canada, Canadian Real Estate Association, SAAR - Seasonally adjusted annual rate</t>
  </si>
  <si>
    <t>Retail Sales ($ millions, SA)</t>
  </si>
  <si>
    <t>Housing Starts (SAAR, thousands)</t>
  </si>
  <si>
    <t>Goods Exports (customs based, $ millions)</t>
  </si>
  <si>
    <t>Energy Products ($ millions)</t>
  </si>
  <si>
    <t>Agricultural Products ($ millions)</t>
  </si>
  <si>
    <t>Manufacturing Shipments ($ millions, SA)</t>
  </si>
  <si>
    <t>Wholesale Trade ($ millions, SA)</t>
  </si>
  <si>
    <t>Building Permits ($ millions, SA)</t>
  </si>
  <si>
    <t>Residential Permits ($ millions, SA)</t>
  </si>
  <si>
    <t>Non-Residential Permits ($ millions, SA)</t>
  </si>
  <si>
    <t>Resale Home Sales (units, SA)</t>
  </si>
  <si>
    <t>Sales to New Listing Ratio (SA)</t>
  </si>
  <si>
    <t>MLS Average Resale Prices ($ thousands, SA)</t>
  </si>
  <si>
    <t>Source: Statistics Canada, Alberta Treasury Board and Finance</t>
  </si>
  <si>
    <t>Back to main menu</t>
  </si>
  <si>
    <t>Source: Canadian Association of Energy Contractors (CAOEC)</t>
  </si>
  <si>
    <r>
      <rPr>
        <b/>
        <vertAlign val="superscript"/>
        <sz val="8.5"/>
        <rFont val="Arial"/>
        <family val="2"/>
      </rPr>
      <t>1</t>
    </r>
    <r>
      <rPr>
        <b/>
        <sz val="8.5"/>
        <rFont val="Arial"/>
        <family val="2"/>
      </rPr>
      <t xml:space="preserve">Population data presented on a census year basis (July 1–June 30). </t>
    </r>
  </si>
  <si>
    <r>
      <rPr>
        <b/>
        <vertAlign val="superscript"/>
        <sz val="8.5"/>
        <rFont val="Arial"/>
        <family val="2"/>
      </rPr>
      <t>3</t>
    </r>
    <r>
      <rPr>
        <b/>
        <sz val="8.5"/>
        <rFont val="Arial"/>
        <family val="2"/>
      </rPr>
      <t>Wholesale trade (excluding petroleum, petroleum products, and other hydrocarbons and excluding oilseed and grain)</t>
    </r>
  </si>
  <si>
    <t>Sources: All data is from Statistics Canada except the Alberta Activity Index (Alberta Treasury Board and Finance), Housing Starts (Canada Mortgage and Housing Corporation), MLS Average Resale Prices (Canadian Real Estate Association or CREA), Rigs Drilling (Canadian Association of Energy Contractors) and Bankruptcies (Office of the Superintendent of Bankruptcy Canada).
All historical data are subject to revision.</t>
  </si>
  <si>
    <t xml:space="preserve">YTD (year‑to‑date) represents the change since the beginning of the year compared to the </t>
  </si>
  <si>
    <t>For more information contact Robert Van Blyderveen at robert.vanblyderveen@gov.ab.ca</t>
  </si>
  <si>
    <t>2017</t>
  </si>
  <si>
    <t>2018</t>
  </si>
  <si>
    <t>2019</t>
  </si>
  <si>
    <t>2020</t>
  </si>
  <si>
    <t>2021</t>
  </si>
  <si>
    <t>2022</t>
  </si>
  <si>
    <t>Labour Market (2)</t>
  </si>
  <si>
    <t>2023</t>
  </si>
  <si>
    <t>Daily Oil Prices*</t>
  </si>
  <si>
    <t>12-Jun-25</t>
  </si>
  <si>
    <t>19-Jun-25</t>
  </si>
  <si>
    <t>20-Jun-25</t>
  </si>
  <si>
    <t>23-Jun-25</t>
  </si>
  <si>
    <t>24-Jun-25</t>
  </si>
  <si>
    <t>25-Jun-25</t>
  </si>
  <si>
    <t>26-Jun-25</t>
  </si>
  <si>
    <t>13-Jun-25</t>
  </si>
  <si>
    <t>16-Jun-25</t>
  </si>
  <si>
    <t>17-Jun-25</t>
  </si>
  <si>
    <t>18-Jun-25</t>
  </si>
  <si>
    <t>27-Jun-25</t>
  </si>
  <si>
    <t>30-Jun-25</t>
  </si>
  <si>
    <t>01-Jul-25</t>
  </si>
  <si>
    <t>02-Jul-25</t>
  </si>
  <si>
    <t>03-Jul-25</t>
  </si>
  <si>
    <t>04-Jul-25</t>
  </si>
  <si>
    <t>07-Jul-25</t>
  </si>
  <si>
    <t>08-Jul-25</t>
  </si>
  <si>
    <t>09-Jul-25</t>
  </si>
  <si>
    <t>10-Jul-25</t>
  </si>
  <si>
    <t>11-Jul-25</t>
  </si>
  <si>
    <t>14-Jul-25</t>
  </si>
  <si>
    <t>15-Jul-25</t>
  </si>
  <si>
    <t>16-Jul-25</t>
  </si>
  <si>
    <t>17-Jul-25</t>
  </si>
  <si>
    <t>25-Jul-25</t>
  </si>
  <si>
    <t>28-Jul-25</t>
  </si>
  <si>
    <t>29-Jul-25</t>
  </si>
  <si>
    <t>30-Jul-25</t>
  </si>
  <si>
    <t>31-Jul-25</t>
  </si>
  <si>
    <t>18-Jul-25</t>
  </si>
  <si>
    <t>21-Jul-25</t>
  </si>
  <si>
    <t>22-Jul-25</t>
  </si>
  <si>
    <t>23-Jul-25</t>
  </si>
  <si>
    <t>24-Jul-25</t>
  </si>
  <si>
    <t>01-Aug-25</t>
  </si>
  <si>
    <t>04-Aug-25</t>
  </si>
  <si>
    <t>05-Aug-25</t>
  </si>
  <si>
    <t>06-Aug-25</t>
  </si>
  <si>
    <t>07-Aug-25</t>
  </si>
  <si>
    <t>08-Aug-25</t>
  </si>
  <si>
    <t>11-Aug-25</t>
  </si>
  <si>
    <t>12-Aug-25</t>
  </si>
  <si>
    <t>13-Aug-25</t>
  </si>
  <si>
    <t>14-Aug-25</t>
  </si>
  <si>
    <t>15-Aug-25</t>
  </si>
  <si>
    <t>18-Aug-25</t>
  </si>
  <si>
    <t>19-Aug-25</t>
  </si>
  <si>
    <t>20-Aug-25</t>
  </si>
  <si>
    <t>21-Aug-25</t>
  </si>
  <si>
    <t>22-Aug-25</t>
  </si>
  <si>
    <t>25-Aug-25</t>
  </si>
  <si>
    <t>26-Aug-25</t>
  </si>
  <si>
    <t>27-Aug-25</t>
  </si>
  <si>
    <t>28-Aug-25</t>
  </si>
  <si>
    <t>29-Aug-25</t>
  </si>
  <si>
    <t>01-Sep-25</t>
  </si>
  <si>
    <t>02-Sep-25</t>
  </si>
  <si>
    <t>03-Sep-25</t>
  </si>
  <si>
    <t>04-Sep-25</t>
  </si>
  <si>
    <t>05-Sep-25</t>
  </si>
  <si>
    <t>08-Sep-25</t>
  </si>
  <si>
    <t>09-Sep-25</t>
  </si>
  <si>
    <t>10-Sep-25</t>
  </si>
  <si>
    <t>11-Sep-25</t>
  </si>
  <si>
    <t>26-Sep-25</t>
  </si>
  <si>
    <t>29-Sep-25</t>
  </si>
  <si>
    <t>30-Sep-25</t>
  </si>
  <si>
    <t>01-Oct-25</t>
  </si>
  <si>
    <t>02-Oct-25</t>
  </si>
  <si>
    <t>12-Sep-25</t>
  </si>
  <si>
    <t>15-Sep-25</t>
  </si>
  <si>
    <t>16-Sep-25</t>
  </si>
  <si>
    <t>17-Sep-25</t>
  </si>
  <si>
    <t>18-Sep-25</t>
  </si>
  <si>
    <t>19-Sep-25</t>
  </si>
  <si>
    <t>22-Sep-25</t>
  </si>
  <si>
    <t>23-Sep-25</t>
  </si>
  <si>
    <t>24-Sep-25</t>
  </si>
  <si>
    <t>25-Sep-25</t>
  </si>
  <si>
    <t>03-Oct-25</t>
  </si>
  <si>
    <t>06-Oct-25</t>
  </si>
  <si>
    <t>07-Oct-25</t>
  </si>
  <si>
    <t>08-Oct-25</t>
  </si>
  <si>
    <t>09-Oct-25</t>
  </si>
  <si>
    <t>16-Oct-25</t>
  </si>
  <si>
    <t>10-Oct-25</t>
  </si>
  <si>
    <t>13-Oct-25</t>
  </si>
  <si>
    <t>14-Oct-25</t>
  </si>
  <si>
    <t>15-Oct-25</t>
  </si>
  <si>
    <t>17-Oct-25</t>
  </si>
  <si>
    <t>20-Oct-25</t>
  </si>
  <si>
    <t>21-Oct-25</t>
  </si>
  <si>
    <t>22-Oct-25</t>
  </si>
  <si>
    <t>23-Oct-25</t>
  </si>
  <si>
    <t>24-Oct-25</t>
  </si>
  <si>
    <t>27-Oct-25</t>
  </si>
  <si>
    <t>28-Oct-25</t>
  </si>
  <si>
    <t>29-Oct-25</t>
  </si>
  <si>
    <t>30-Oct-25</t>
  </si>
  <si>
    <t>Population1</t>
  </si>
  <si>
    <t xml:space="preserve">Non-Res. Building Cons. Price Index2 (y/y % change) </t>
  </si>
  <si>
    <t>31-Oct-25</t>
  </si>
  <si>
    <t>03-Nov-25</t>
  </si>
  <si>
    <t>04-Nov-25</t>
  </si>
  <si>
    <t>05-Nov-25</t>
  </si>
  <si>
    <t>06-Nov-25</t>
  </si>
  <si>
    <t>2024</t>
  </si>
  <si>
    <t/>
  </si>
  <si>
    <t>14-Nov-25</t>
  </si>
  <si>
    <t>17-Nov-25</t>
  </si>
  <si>
    <t>18-Nov-25</t>
  </si>
  <si>
    <t>19-Nov-25</t>
  </si>
  <si>
    <t>20-Nov-25</t>
  </si>
  <si>
    <t>21-Nov-25</t>
  </si>
  <si>
    <t>24-Nov-25</t>
  </si>
  <si>
    <t>25-Nov-25</t>
  </si>
  <si>
    <t>26-Nov-25</t>
  </si>
  <si>
    <t>07-Nov-25</t>
  </si>
  <si>
    <t>10-Nov-25</t>
  </si>
  <si>
    <t>11-Nov-25</t>
  </si>
  <si>
    <t>12-Nov-25</t>
  </si>
  <si>
    <t>13-Nov-25</t>
  </si>
  <si>
    <t>28-Nov-25</t>
  </si>
  <si>
    <t>01-Dec-25</t>
  </si>
  <si>
    <t>27-Nov-25</t>
  </si>
  <si>
    <t>02-Dec-25</t>
  </si>
  <si>
    <t>03-Dec-25</t>
  </si>
  <si>
    <t>04-Dec-25</t>
  </si>
  <si>
    <t>05-Dec-25</t>
  </si>
  <si>
    <t>08-Dec-25</t>
  </si>
  <si>
    <t>09-Dec-25</t>
  </si>
  <si>
    <t>10-Dec-25</t>
  </si>
  <si>
    <t>11-Dec-25</t>
  </si>
  <si>
    <t>12-Dec-25</t>
  </si>
  <si>
    <t>15-Dec-25</t>
  </si>
  <si>
    <t>16-Dec-25</t>
  </si>
  <si>
    <t>17-Dec-25</t>
  </si>
  <si>
    <t>18-Dec-25</t>
  </si>
  <si>
    <t>19-Dec-25</t>
  </si>
  <si>
    <t>22-Dec-25</t>
  </si>
  <si>
    <t>23-Dec-25</t>
  </si>
  <si>
    <t>24-Dec-25</t>
  </si>
  <si>
    <t>25-Dec-25</t>
  </si>
  <si>
    <t>26-Dec-25</t>
  </si>
  <si>
    <t>29-Dec-25</t>
  </si>
  <si>
    <t>30-Dec-25</t>
  </si>
  <si>
    <t>31-Dec-25</t>
  </si>
  <si>
    <t>01-Jan-26</t>
  </si>
  <si>
    <t>02-Jan-26</t>
  </si>
  <si>
    <t>05-Jan-26</t>
  </si>
  <si>
    <t>06-Jan-26</t>
  </si>
  <si>
    <t>07-Jan-26</t>
  </si>
  <si>
    <t>08-Jan-26</t>
  </si>
  <si>
    <t>09-Jan-26</t>
  </si>
  <si>
    <t>12-Jan-26</t>
  </si>
  <si>
    <t>13-Jan-26</t>
  </si>
  <si>
    <t>14-Jan-26</t>
  </si>
  <si>
    <t>15-Jan-26</t>
  </si>
  <si>
    <t>2026YTD</t>
  </si>
  <si>
    <t>13-Feb-26</t>
  </si>
  <si>
    <t>17-Feb-26</t>
  </si>
  <si>
    <t>18-Feb-26</t>
  </si>
  <si>
    <t>19-Feb-26</t>
  </si>
  <si>
    <t>20-Feb-26</t>
  </si>
  <si>
    <t>23-Feb-26</t>
  </si>
  <si>
    <t>24-Feb-26</t>
  </si>
  <si>
    <t>25-Feb-26</t>
  </si>
  <si>
    <t>26-Feb-26</t>
  </si>
  <si>
    <t xml:space="preserve">Alberta Activity Index
</t>
  </si>
  <si>
    <t>Year-over-year change (%)</t>
  </si>
  <si>
    <t>Exports</t>
  </si>
  <si>
    <t xml:space="preserve"> Year-over-year change (%)</t>
  </si>
  <si>
    <t>Manufacturing Shipments</t>
  </si>
  <si>
    <t>Residential Unit Sales</t>
  </si>
  <si>
    <t>Retail Sales</t>
  </si>
  <si>
    <t>Average Weekly Earnings</t>
  </si>
  <si>
    <t>Monthly Average Rigs Drilling</t>
  </si>
  <si>
    <t>Unemployment Rate</t>
  </si>
  <si>
    <t>Employment</t>
  </si>
  <si>
    <t>seasoanlly adjusted (%)</t>
  </si>
  <si>
    <t xml:space="preserve"> Seasonally adjusted, year-over-year change (%)</t>
  </si>
  <si>
    <t xml:space="preserve"> Seasonally adjusted (thousands)</t>
  </si>
  <si>
    <t>Monthly-over-month change, seasonally adjusted (thousands)</t>
  </si>
  <si>
    <t>Housing Starts</t>
  </si>
  <si>
    <t>Seasonally-adjusted annual rate, year-over-year change (%)</t>
  </si>
  <si>
    <t>Seasonally adjusted, year-over-year change (%)</t>
  </si>
  <si>
    <t>Average Weekly Earnings (including overtime, industry total excluding unclassified)</t>
  </si>
  <si>
    <t>Housing Starts (all areas)</t>
  </si>
  <si>
    <t>Real GDP by Industry</t>
  </si>
  <si>
    <t xml:space="preserve"> 2025, year-over-year change (%)</t>
  </si>
  <si>
    <t>16-Jan-26</t>
  </si>
  <si>
    <t>2025</t>
  </si>
  <si>
    <t>24-Jul-26</t>
  </si>
  <si>
    <t>27-Jul-26</t>
  </si>
  <si>
    <t>28-Jul-26</t>
  </si>
  <si>
    <t>29-Jul-26</t>
  </si>
  <si>
    <t>30-Jul-26</t>
  </si>
  <si>
    <t>August 2026, seasonally adjusted,  (%)</t>
  </si>
  <si>
    <t>August 2026, seasonally adjusted, year-over-year change (%)</t>
  </si>
  <si>
    <t>August 2026, year-over-year change (%)</t>
  </si>
  <si>
    <t>August 2026, seasonally adjusted at annual rates, year-over-year change (%)</t>
  </si>
  <si>
    <t>July 2026, seasonally adjusted, year-over-year change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</si>
</sst>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
    <numFmt numFmtId="169" formatCode="yyyy"/>
    <numFmt numFmtId="170" formatCode="0.000%"/>
    <numFmt numFmtId="171" formatCode="mmm&quot;-&quot;yy"/>
    <numFmt numFmtId="172" formatCode="[$-409]mmm\-yy;@"/>
    <numFmt numFmtId="173" formatCode="0.000"/>
    <numFmt numFmtId="174" formatCode="\ #,##0.0;\-#,##0.0;#,##0.0"/>
    <numFmt numFmtId="175" formatCode="0.0000"/>
    <numFmt numFmtId="176" formatCode="[$-409]d/mmm/yy;@"/>
    <numFmt numFmtId="177" formatCode="#,##0.0;\-#,##0.0;#,##0.0"/>
    <numFmt numFmtId="178" formatCode="#,##0.0_);\(#,##0.0\)"/>
    <numFmt numFmtId="179" formatCode="[$-409]mmm/yy;@"/>
    <numFmt numFmtId="180" formatCode="0.000000"/>
    <numFmt numFmtId="181" formatCode="\ #,##0.00;\-#,##0.00;#,##0.00"/>
  </numFmts>
  <fonts count="5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sz val="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5"/>
      <name val="Arial"/>
      <family val="2"/>
    </font>
    <font>
      <b/>
      <vertAlign val="superscript"/>
      <sz val="8.5"/>
      <name val="Arial"/>
      <family val="2"/>
    </font>
    <font>
      <sz val="8.5"/>
      <name val="Arial"/>
      <family val="2"/>
    </font>
    <font>
      <sz val="8.5"/>
      <color theme="1"/>
      <name val="Arial"/>
      <family val="2"/>
    </font>
    <font>
      <b/>
      <sz val="8.5"/>
      <color theme="1"/>
      <name val="Arial"/>
      <family val="2"/>
    </font>
    <font>
      <sz val="11"/>
      <color theme="1"/>
      <name val="Arial"/>
      <family val="2"/>
    </font>
    <font>
      <u/>
      <sz val="10"/>
      <color theme="10"/>
      <name val="Arial"/>
      <family val="2"/>
    </font>
    <font>
      <b/>
      <sz val="22"/>
      <name val="Arial"/>
      <family val="2"/>
    </font>
    <font>
      <b/>
      <sz val="8"/>
      <color rgb="FFFFFFFF"/>
      <name val="Arial"/>
      <family val="2"/>
    </font>
    <font>
      <sz val="10"/>
      <name val="Arial"/>
      <family val="2"/>
    </font>
    <font>
      <sz val="9"/>
      <color theme="1"/>
      <name val="Arial"/>
      <family val="2"/>
    </font>
    <font>
      <u/>
      <sz val="11"/>
      <color theme="10"/>
      <name val="Calibri"/>
      <family val="2"/>
      <scheme val="minor"/>
    </font>
    <font>
      <sz val="12"/>
      <name val="Arial"/>
      <family val="2"/>
    </font>
    <font>
      <sz val="11"/>
      <color rgb="FF1F497D"/>
      <name val="Calibri"/>
      <family val="2"/>
    </font>
    <font>
      <sz val="8"/>
      <name val="Arial"/>
      <family val="2"/>
    </font>
    <font>
      <sz val="12"/>
      <color theme="1"/>
      <name val="Calibri"/>
      <family val="2"/>
      <scheme val="minor"/>
    </font>
    <font>
      <b/>
      <sz val="10"/>
      <color theme="1"/>
      <name val="Arial"/>
      <family val="2"/>
    </font>
    <font>
      <sz val="11"/>
      <name val="Calibri"/>
      <family val="2"/>
      <scheme val="minor"/>
    </font>
    <font>
      <sz val="8"/>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1AB"/>
        <bgColor indexed="64"/>
      </patternFill>
    </fill>
    <fill>
      <patternFill patternType="solid">
        <fgColor theme="8"/>
        <bgColor indexed="64"/>
      </patternFill>
    </fill>
    <fill>
      <patternFill patternType="solid">
        <fgColor theme="9"/>
        <bgColor indexed="64"/>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56">
    <xf numFmtId="0" fontId="0" fillId="0" borderId="0"/>
    <xf numFmtId="167" fontId="19" fillId="0" borderId="0" applyFont="0" applyFill="0" applyBorder="0" applyAlignment="0" applyProtection="0"/>
    <xf numFmtId="0" fontId="19" fillId="0" borderId="0"/>
    <xf numFmtId="0" fontId="21" fillId="0" borderId="0" applyNumberFormat="0" applyFill="0" applyBorder="0" applyAlignment="0" applyProtection="0"/>
    <xf numFmtId="0" fontId="22" fillId="0" borderId="1" applyNumberFormat="0" applyFill="0" applyAlignment="0" applyProtection="0"/>
    <xf numFmtId="0" fontId="23" fillId="0" borderId="2" applyNumberFormat="0" applyFill="0" applyAlignment="0" applyProtection="0"/>
    <xf numFmtId="0" fontId="24" fillId="0" borderId="3" applyNumberFormat="0" applyFill="0" applyAlignment="0" applyProtection="0"/>
    <xf numFmtId="0" fontId="24" fillId="0" borderId="0" applyNumberFormat="0" applyFill="0" applyBorder="0" applyAlignment="0" applyProtection="0"/>
    <xf numFmtId="0" fontId="25" fillId="2" borderId="0" applyNumberFormat="0" applyBorder="0" applyAlignment="0" applyProtection="0"/>
    <xf numFmtId="0" fontId="26" fillId="3" borderId="0" applyNumberFormat="0" applyBorder="0" applyAlignment="0" applyProtection="0"/>
    <xf numFmtId="0" fontId="27" fillId="4" borderId="0" applyNumberFormat="0" applyBorder="0" applyAlignment="0" applyProtection="0"/>
    <xf numFmtId="0" fontId="28" fillId="5" borderId="4" applyNumberFormat="0" applyAlignment="0" applyProtection="0"/>
    <xf numFmtId="0" fontId="29" fillId="6" borderId="5" applyNumberFormat="0" applyAlignment="0" applyProtection="0"/>
    <xf numFmtId="0" fontId="30" fillId="6" borderId="4" applyNumberFormat="0" applyAlignment="0" applyProtection="0"/>
    <xf numFmtId="0" fontId="31" fillId="0" borderId="6" applyNumberFormat="0" applyFill="0" applyAlignment="0" applyProtection="0"/>
    <xf numFmtId="0" fontId="32" fillId="7" borderId="7" applyNumberFormat="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9" applyNumberFormat="0" applyFill="0" applyAlignment="0" applyProtection="0"/>
    <xf numFmtId="0" fontId="36"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36" fillId="12" borderId="0" applyNumberFormat="0" applyBorder="0" applyAlignment="0" applyProtection="0"/>
    <xf numFmtId="0" fontId="36"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36" fillId="24" borderId="0" applyNumberFormat="0" applyBorder="0" applyAlignment="0" applyProtection="0"/>
    <xf numFmtId="0" fontId="36"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36" fillId="28" borderId="0" applyNumberFormat="0" applyBorder="0" applyAlignment="0" applyProtection="0"/>
    <xf numFmtId="0" fontId="36"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36" fillId="32" borderId="0" applyNumberFormat="0" applyBorder="0" applyAlignment="0" applyProtection="0"/>
    <xf numFmtId="0" fontId="16" fillId="0" borderId="0"/>
    <xf numFmtId="0" fontId="15" fillId="0" borderId="0"/>
    <xf numFmtId="0" fontId="14" fillId="0" borderId="0"/>
    <xf numFmtId="0" fontId="13" fillId="0" borderId="0"/>
    <xf numFmtId="0" fontId="19" fillId="0" borderId="0"/>
    <xf numFmtId="167" fontId="19" fillId="0" borderId="0" applyFont="0" applyFill="0" applyBorder="0" applyAlignment="0" applyProtection="0"/>
    <xf numFmtId="0" fontId="19" fillId="0" borderId="0"/>
    <xf numFmtId="9" fontId="19" fillId="0" borderId="0" applyFont="0" applyFill="0" applyBorder="0" applyAlignment="0" applyProtection="0"/>
    <xf numFmtId="0" fontId="42" fillId="0" borderId="0"/>
    <xf numFmtId="0" fontId="12" fillId="0" borderId="0"/>
    <xf numFmtId="0" fontId="43" fillId="0" borderId="0" applyNumberFormat="0" applyFill="0" applyBorder="0" applyAlignment="0" applyProtection="0"/>
    <xf numFmtId="0" fontId="11" fillId="0" borderId="0"/>
    <xf numFmtId="167" fontId="46" fillId="0" borderId="0" applyFont="0" applyFill="0" applyBorder="0" applyAlignment="0" applyProtection="0"/>
    <xf numFmtId="165" fontId="46" fillId="0" borderId="0" applyFont="0" applyFill="0" applyBorder="0" applyAlignment="0" applyProtection="0"/>
    <xf numFmtId="166" fontId="46" fillId="0" borderId="0" applyFont="0" applyFill="0" applyBorder="0" applyAlignment="0" applyProtection="0"/>
    <xf numFmtId="164" fontId="46" fillId="0" borderId="0" applyFont="0" applyFill="0" applyBorder="0" applyAlignment="0" applyProtection="0"/>
    <xf numFmtId="9" fontId="46" fillId="0" borderId="0" applyFont="0" applyFill="0" applyBorder="0" applyAlignment="0" applyProtection="0"/>
    <xf numFmtId="0" fontId="46" fillId="8" borderId="8" applyNumberFormat="0" applyFont="0" applyAlignment="0" applyProtection="0"/>
    <xf numFmtId="0" fontId="47" fillId="0" borderId="0"/>
    <xf numFmtId="0" fontId="10" fillId="0" borderId="0"/>
    <xf numFmtId="0" fontId="10" fillId="0" borderId="0"/>
    <xf numFmtId="0" fontId="10" fillId="0" borderId="0"/>
    <xf numFmtId="0" fontId="10" fillId="0" borderId="0"/>
    <xf numFmtId="0" fontId="10" fillId="0" borderId="0"/>
    <xf numFmtId="0" fontId="48" fillId="0" borderId="0" applyNumberFormat="0" applyFill="0" applyBorder="0" applyAlignment="0" applyProtection="0"/>
    <xf numFmtId="0" fontId="10" fillId="0" borderId="0"/>
    <xf numFmtId="0" fontId="10" fillId="10" borderId="0" applyNumberFormat="0" applyBorder="0" applyAlignment="0" applyProtection="0"/>
    <xf numFmtId="0" fontId="10" fillId="0" borderId="0"/>
    <xf numFmtId="0" fontId="19" fillId="0" borderId="0"/>
    <xf numFmtId="0" fontId="19"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10"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0" borderId="0" applyNumberFormat="0" applyBorder="0" applyAlignment="0" applyProtection="0"/>
    <xf numFmtId="0" fontId="9" fillId="0" borderId="0"/>
    <xf numFmtId="0" fontId="9" fillId="0" borderId="0"/>
    <xf numFmtId="0" fontId="9" fillId="0" borderId="0"/>
    <xf numFmtId="0" fontId="9" fillId="10" borderId="0" applyNumberFormat="0" applyBorder="0" applyAlignment="0" applyProtection="0"/>
    <xf numFmtId="0" fontId="9" fillId="0" borderId="0"/>
    <xf numFmtId="0" fontId="9" fillId="0" borderId="0"/>
    <xf numFmtId="0" fontId="9" fillId="0" borderId="0"/>
    <xf numFmtId="0" fontId="9" fillId="0" borderId="0"/>
    <xf numFmtId="0" fontId="9" fillId="10"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10" borderId="0" applyNumberFormat="0" applyBorder="0" applyAlignment="0" applyProtection="0"/>
    <xf numFmtId="0" fontId="8" fillId="0" borderId="0"/>
    <xf numFmtId="0" fontId="8" fillId="0" borderId="0"/>
    <xf numFmtId="0" fontId="8" fillId="0" borderId="0"/>
    <xf numFmtId="0" fontId="8" fillId="10" borderId="0" applyNumberFormat="0" applyBorder="0" applyAlignment="0" applyProtection="0"/>
    <xf numFmtId="0" fontId="8" fillId="0" borderId="0"/>
    <xf numFmtId="0" fontId="8" fillId="0" borderId="0"/>
    <xf numFmtId="0" fontId="8" fillId="0" borderId="0"/>
    <xf numFmtId="0" fontId="8" fillId="0" borderId="0"/>
    <xf numFmtId="0" fontId="8" fillId="10" borderId="0" applyNumberFormat="0" applyBorder="0" applyAlignment="0" applyProtection="0"/>
    <xf numFmtId="0" fontId="8" fillId="0" borderId="0"/>
    <xf numFmtId="0" fontId="8" fillId="10"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10" borderId="0" applyNumberFormat="0" applyBorder="0" applyAlignment="0" applyProtection="0"/>
    <xf numFmtId="0" fontId="7" fillId="0" borderId="0"/>
    <xf numFmtId="0" fontId="7" fillId="0" borderId="0"/>
    <xf numFmtId="0" fontId="7" fillId="0" borderId="0"/>
    <xf numFmtId="0" fontId="7" fillId="10" borderId="0" applyNumberFormat="0" applyBorder="0" applyAlignment="0" applyProtection="0"/>
    <xf numFmtId="0" fontId="7" fillId="0" borderId="0"/>
    <xf numFmtId="0" fontId="7" fillId="0" borderId="0"/>
    <xf numFmtId="0" fontId="7" fillId="0" borderId="0"/>
    <xf numFmtId="0" fontId="7" fillId="0" borderId="0"/>
    <xf numFmtId="0" fontId="7" fillId="10" borderId="0" applyNumberFormat="0" applyBorder="0" applyAlignment="0" applyProtection="0"/>
    <xf numFmtId="0" fontId="7" fillId="0" borderId="0"/>
    <xf numFmtId="0" fontId="7" fillId="10" borderId="0" applyNumberFormat="0" applyBorder="0" applyAlignment="0" applyProtection="0"/>
    <xf numFmtId="0" fontId="6" fillId="0" borderId="0"/>
    <xf numFmtId="0" fontId="6" fillId="0" borderId="0"/>
    <xf numFmtId="0" fontId="6" fillId="0" borderId="0"/>
    <xf numFmtId="0" fontId="6" fillId="0" borderId="0"/>
    <xf numFmtId="0" fontId="49" fillId="0" borderId="0"/>
    <xf numFmtId="0" fontId="49" fillId="0" borderId="0"/>
    <xf numFmtId="43" fontId="19" fillId="0" borderId="0" applyFont="0" applyFill="0" applyBorder="0" applyAlignment="0" applyProtection="0"/>
    <xf numFmtId="43" fontId="19" fillId="0" borderId="0" applyFont="0" applyFill="0" applyBorder="0" applyAlignment="0" applyProtection="0"/>
    <xf numFmtId="0" fontId="19" fillId="0" borderId="0"/>
    <xf numFmtId="0" fontId="4" fillId="0" borderId="0"/>
    <xf numFmtId="0" fontId="52" fillId="0" borderId="0"/>
    <xf numFmtId="0" fontId="3" fillId="0" borderId="0"/>
    <xf numFmtId="0" fontId="2" fillId="0" borderId="0"/>
  </cellStyleXfs>
  <cellXfs count="161">
    <xf numFmtId="0" fontId="0" fillId="0" borderId="0" xfId="0"/>
    <xf numFmtId="17" fontId="19" fillId="0" borderId="0" xfId="0" applyNumberFormat="1" applyFont="1"/>
    <xf numFmtId="0" fontId="19" fillId="0" borderId="0" xfId="0" applyFont="1"/>
    <xf numFmtId="0" fontId="19" fillId="0" borderId="0" xfId="47"/>
    <xf numFmtId="170" fontId="0" fillId="0" borderId="0" xfId="50" applyNumberFormat="1" applyFont="1" applyFill="1"/>
    <xf numFmtId="168" fontId="19" fillId="0" borderId="0" xfId="47" applyNumberFormat="1"/>
    <xf numFmtId="0" fontId="37" fillId="0" borderId="0" xfId="47" applyFont="1"/>
    <xf numFmtId="0" fontId="39" fillId="0" borderId="0" xfId="47" quotePrefix="1" applyFont="1" applyAlignment="1">
      <alignment horizontal="center"/>
    </xf>
    <xf numFmtId="0" fontId="41" fillId="0" borderId="0" xfId="47" applyFont="1"/>
    <xf numFmtId="15" fontId="19" fillId="0" borderId="0" xfId="47" quotePrefix="1" applyNumberFormat="1"/>
    <xf numFmtId="0" fontId="20" fillId="33" borderId="0" xfId="0" applyFont="1" applyFill="1" applyAlignment="1">
      <alignment vertical="center"/>
    </xf>
    <xf numFmtId="0" fontId="20" fillId="33" borderId="14" xfId="0" applyFont="1" applyFill="1" applyBorder="1" applyAlignment="1">
      <alignment vertical="center"/>
    </xf>
    <xf numFmtId="0" fontId="0" fillId="34" borderId="0" xfId="0" applyFill="1"/>
    <xf numFmtId="0" fontId="44" fillId="0" borderId="0" xfId="0" applyFont="1" applyAlignment="1">
      <alignment horizontal="center" vertical="center"/>
    </xf>
    <xf numFmtId="0" fontId="0" fillId="35" borderId="0" xfId="0" applyFill="1"/>
    <xf numFmtId="0" fontId="0" fillId="36" borderId="0" xfId="0" applyFill="1"/>
    <xf numFmtId="0" fontId="43" fillId="36" borderId="0" xfId="53" applyFill="1"/>
    <xf numFmtId="0" fontId="19" fillId="0" borderId="0" xfId="0" applyFont="1" applyAlignment="1">
      <alignment horizontal="center" vertical="top" wrapText="1"/>
    </xf>
    <xf numFmtId="0" fontId="39" fillId="0" borderId="13" xfId="0" applyFont="1" applyBorder="1"/>
    <xf numFmtId="0" fontId="39" fillId="0" borderId="13" xfId="0" applyFont="1" applyBorder="1" applyAlignment="1">
      <alignment horizontal="left" indent="1"/>
    </xf>
    <xf numFmtId="0" fontId="39" fillId="0" borderId="13" xfId="0" applyFont="1" applyBorder="1" applyAlignment="1">
      <alignment horizontal="left" indent="2"/>
    </xf>
    <xf numFmtId="0" fontId="39" fillId="0" borderId="13" xfId="0" applyFont="1" applyBorder="1" applyAlignment="1">
      <alignment horizontal="left"/>
    </xf>
    <xf numFmtId="168" fontId="19" fillId="0" borderId="0" xfId="0" applyNumberFormat="1" applyFont="1"/>
    <xf numFmtId="0" fontId="19" fillId="0" borderId="0" xfId="71"/>
    <xf numFmtId="0" fontId="19" fillId="0" borderId="0" xfId="71" applyAlignment="1">
      <alignment wrapText="1"/>
    </xf>
    <xf numFmtId="0" fontId="19" fillId="0" borderId="0" xfId="71" applyAlignment="1">
      <alignment horizontal="center" wrapText="1"/>
    </xf>
    <xf numFmtId="17" fontId="19" fillId="0" borderId="0" xfId="71" applyNumberFormat="1"/>
    <xf numFmtId="171" fontId="19" fillId="0" borderId="0" xfId="71" applyNumberFormat="1"/>
    <xf numFmtId="2" fontId="19" fillId="0" borderId="0" xfId="71" applyNumberFormat="1"/>
    <xf numFmtId="0" fontId="50" fillId="0" borderId="0" xfId="0" applyFont="1"/>
    <xf numFmtId="1" fontId="19" fillId="0" borderId="0" xfId="147" applyNumberFormat="1" applyFont="1" applyAlignment="1">
      <alignment horizontal="right"/>
    </xf>
    <xf numFmtId="0" fontId="19" fillId="0" borderId="0" xfId="143" applyFont="1"/>
    <xf numFmtId="0" fontId="43" fillId="0" borderId="0" xfId="53" applyFill="1"/>
    <xf numFmtId="0" fontId="19" fillId="0" borderId="0" xfId="143" applyFont="1" applyAlignment="1">
      <alignment horizontal="center" vertical="center" wrapText="1"/>
    </xf>
    <xf numFmtId="0" fontId="19" fillId="0" borderId="0" xfId="143" applyFont="1" applyAlignment="1">
      <alignment wrapText="1"/>
    </xf>
    <xf numFmtId="168" fontId="19" fillId="0" borderId="0" xfId="71" applyNumberFormat="1"/>
    <xf numFmtId="1" fontId="19" fillId="0" borderId="0" xfId="148" applyNumberFormat="1" applyFont="1" applyAlignment="1">
      <alignment horizontal="right"/>
    </xf>
    <xf numFmtId="1" fontId="19" fillId="0" borderId="0" xfId="0" applyNumberFormat="1" applyFont="1"/>
    <xf numFmtId="0" fontId="45" fillId="33" borderId="12" xfId="49" applyFont="1" applyFill="1" applyBorder="1" applyAlignment="1">
      <alignment horizontal="center" vertical="center"/>
    </xf>
    <xf numFmtId="172" fontId="45" fillId="33" borderId="12" xfId="0" applyNumberFormat="1" applyFont="1" applyFill="1" applyBorder="1" applyAlignment="1">
      <alignment horizontal="center" vertical="center"/>
    </xf>
    <xf numFmtId="0" fontId="39" fillId="36" borderId="13" xfId="0" applyFont="1" applyFill="1" applyBorder="1" applyAlignment="1">
      <alignment horizontal="left" indent="1"/>
    </xf>
    <xf numFmtId="0" fontId="39" fillId="36" borderId="13" xfId="0" applyFont="1" applyFill="1" applyBorder="1" applyAlignment="1">
      <alignment horizontal="left" indent="2"/>
    </xf>
    <xf numFmtId="0" fontId="39" fillId="36" borderId="10" xfId="0" applyFont="1" applyFill="1" applyBorder="1"/>
    <xf numFmtId="2" fontId="19" fillId="0" borderId="0" xfId="143" applyNumberFormat="1" applyFont="1"/>
    <xf numFmtId="0" fontId="5" fillId="0" borderId="0" xfId="0" applyFont="1"/>
    <xf numFmtId="176" fontId="19" fillId="0" borderId="0" xfId="143" applyNumberFormat="1" applyFont="1"/>
    <xf numFmtId="0" fontId="39" fillId="0" borderId="12" xfId="0" applyFont="1" applyBorder="1"/>
    <xf numFmtId="174" fontId="40" fillId="0" borderId="15" xfId="0" applyNumberFormat="1" applyFont="1" applyBorder="1" applyAlignment="1">
      <alignment horizontal="right"/>
    </xf>
    <xf numFmtId="174" fontId="40" fillId="0" borderId="15" xfId="149" quotePrefix="1" applyNumberFormat="1" applyFont="1" applyFill="1" applyBorder="1" applyAlignment="1">
      <alignment horizontal="right"/>
    </xf>
    <xf numFmtId="168" fontId="5" fillId="0" borderId="0" xfId="89" applyNumberFormat="1" applyFont="1"/>
    <xf numFmtId="168" fontId="5" fillId="0" borderId="0" xfId="45" applyNumberFormat="1" applyFont="1"/>
    <xf numFmtId="168" fontId="5" fillId="0" borderId="0" xfId="105" applyNumberFormat="1" applyFont="1"/>
    <xf numFmtId="0" fontId="5" fillId="0" borderId="0" xfId="54" applyFont="1" applyAlignment="1">
      <alignment horizontal="center" vertical="top" wrapText="1"/>
    </xf>
    <xf numFmtId="2" fontId="19" fillId="0" borderId="0" xfId="0" applyNumberFormat="1" applyFont="1"/>
    <xf numFmtId="2" fontId="19" fillId="0" borderId="0" xfId="143" applyNumberFormat="1" applyFont="1" applyAlignment="1">
      <alignment horizontal="center"/>
    </xf>
    <xf numFmtId="2" fontId="5" fillId="0" borderId="0" xfId="0" applyNumberFormat="1" applyFont="1" applyAlignment="1">
      <alignment horizontal="center"/>
    </xf>
    <xf numFmtId="2" fontId="19" fillId="0" borderId="0" xfId="0" applyNumberFormat="1" applyFont="1" applyAlignment="1">
      <alignment horizontal="center"/>
    </xf>
    <xf numFmtId="15" fontId="5" fillId="0" borderId="0" xfId="0" applyNumberFormat="1" applyFont="1" applyAlignment="1">
      <alignment horizontal="left"/>
    </xf>
    <xf numFmtId="17" fontId="5" fillId="0" borderId="0" xfId="51" applyNumberFormat="1" applyFont="1"/>
    <xf numFmtId="168" fontId="5" fillId="0" borderId="0" xfId="54" applyNumberFormat="1" applyFont="1"/>
    <xf numFmtId="169" fontId="5" fillId="0" borderId="0" xfId="54" applyNumberFormat="1" applyFont="1"/>
    <xf numFmtId="2" fontId="5" fillId="0" borderId="0" xfId="54" applyNumberFormat="1" applyFont="1"/>
    <xf numFmtId="172" fontId="5" fillId="0" borderId="0" xfId="51" applyNumberFormat="1" applyFont="1"/>
    <xf numFmtId="17" fontId="19" fillId="0" borderId="0" xfId="51" applyNumberFormat="1" applyFont="1"/>
    <xf numFmtId="168" fontId="19" fillId="0" borderId="0" xfId="54" applyNumberFormat="1" applyFont="1"/>
    <xf numFmtId="17" fontId="5" fillId="0" borderId="0" xfId="0" applyNumberFormat="1" applyFont="1"/>
    <xf numFmtId="172" fontId="19" fillId="0" borderId="0" xfId="71" applyNumberFormat="1" applyAlignment="1">
      <alignment horizontal="right"/>
    </xf>
    <xf numFmtId="179" fontId="19" fillId="0" borderId="0" xfId="71" applyNumberFormat="1"/>
    <xf numFmtId="172" fontId="19" fillId="0" borderId="0" xfId="71" applyNumberFormat="1"/>
    <xf numFmtId="173" fontId="19" fillId="0" borderId="0" xfId="71" applyNumberFormat="1"/>
    <xf numFmtId="1" fontId="5" fillId="0" borderId="0" xfId="149" applyNumberFormat="1" applyFont="1" applyFill="1" applyBorder="1" applyAlignment="1">
      <alignment horizontal="right"/>
    </xf>
    <xf numFmtId="16" fontId="19" fillId="0" borderId="0" xfId="71" applyNumberFormat="1"/>
    <xf numFmtId="10" fontId="19" fillId="0" borderId="0" xfId="71" applyNumberFormat="1"/>
    <xf numFmtId="167" fontId="19" fillId="0" borderId="0" xfId="48" applyFont="1"/>
    <xf numFmtId="175" fontId="5" fillId="0" borderId="0" xfId="146" applyNumberFormat="1" applyFont="1"/>
    <xf numFmtId="0" fontId="19" fillId="0" borderId="0" xfId="0" applyFont="1" applyAlignment="1">
      <alignment horizontal="center"/>
    </xf>
    <xf numFmtId="0" fontId="53" fillId="0" borderId="0" xfId="0" applyFont="1"/>
    <xf numFmtId="171" fontId="19" fillId="0" borderId="0" xfId="0" applyNumberFormat="1" applyFont="1"/>
    <xf numFmtId="175" fontId="19" fillId="0" borderId="0" xfId="0" applyNumberFormat="1" applyFont="1"/>
    <xf numFmtId="168" fontId="5" fillId="0" borderId="0" xfId="52" applyNumberFormat="1" applyFont="1"/>
    <xf numFmtId="2" fontId="5" fillId="0" borderId="0" xfId="45" applyNumberFormat="1" applyFont="1"/>
    <xf numFmtId="172" fontId="19" fillId="0" borderId="0" xfId="0" applyNumberFormat="1" applyFont="1"/>
    <xf numFmtId="171" fontId="5" fillId="0" borderId="0" xfId="45" applyNumberFormat="1" applyFont="1"/>
    <xf numFmtId="0" fontId="5" fillId="0" borderId="0" xfId="46" applyFont="1"/>
    <xf numFmtId="168" fontId="5" fillId="0" borderId="0" xfId="46" applyNumberFormat="1" applyFont="1"/>
    <xf numFmtId="0" fontId="19" fillId="0" borderId="0" xfId="2"/>
    <xf numFmtId="1" fontId="19" fillId="0" borderId="0" xfId="71" applyNumberFormat="1"/>
    <xf numFmtId="1" fontId="19" fillId="0" borderId="0" xfId="71" applyNumberFormat="1" applyAlignment="1">
      <alignment horizontal="right"/>
    </xf>
    <xf numFmtId="0" fontId="19" fillId="0" borderId="0" xfId="67" applyFont="1" applyAlignment="1">
      <alignment horizontal="center"/>
    </xf>
    <xf numFmtId="0" fontId="19" fillId="0" borderId="0" xfId="71" applyAlignment="1">
      <alignment horizontal="left"/>
    </xf>
    <xf numFmtId="0" fontId="19" fillId="0" borderId="0" xfId="71" applyAlignment="1">
      <alignment horizontal="right"/>
    </xf>
    <xf numFmtId="168" fontId="19" fillId="0" borderId="0" xfId="71" applyNumberFormat="1" applyAlignment="1">
      <alignment horizontal="right"/>
    </xf>
    <xf numFmtId="17" fontId="19" fillId="0" borderId="0" xfId="0" applyNumberFormat="1" applyFont="1" applyAlignment="1">
      <alignment horizontal="center" wrapText="1"/>
    </xf>
    <xf numFmtId="2" fontId="19" fillId="0" borderId="0" xfId="154" applyNumberFormat="1" applyFont="1" applyAlignment="1">
      <alignment horizontal="center"/>
    </xf>
    <xf numFmtId="2" fontId="19" fillId="0" borderId="0" xfId="155" applyNumberFormat="1" applyFont="1" applyAlignment="1">
      <alignment horizontal="center"/>
    </xf>
    <xf numFmtId="17" fontId="19" fillId="0" borderId="0" xfId="0" applyNumberFormat="1" applyFont="1" applyAlignment="1">
      <alignment horizontal="left"/>
    </xf>
    <xf numFmtId="174" fontId="39" fillId="0" borderId="12" xfId="0" applyNumberFormat="1" applyFont="1" applyBorder="1" applyAlignment="1">
      <alignment horizontal="right"/>
    </xf>
    <xf numFmtId="1" fontId="5" fillId="0" borderId="0" xfId="146" applyNumberFormat="1" applyFont="1"/>
    <xf numFmtId="176" fontId="19" fillId="0" borderId="0" xfId="155" applyNumberFormat="1" applyFont="1" applyAlignment="1">
      <alignment horizontal="right"/>
    </xf>
    <xf numFmtId="15" fontId="5" fillId="0" borderId="0" xfId="71" applyNumberFormat="1" applyFont="1" applyAlignment="1">
      <alignment horizontal="right"/>
    </xf>
    <xf numFmtId="0" fontId="19" fillId="0" borderId="0" xfId="155" applyFont="1" applyAlignment="1">
      <alignment horizontal="right"/>
    </xf>
    <xf numFmtId="15" fontId="5" fillId="0" borderId="0" xfId="71" quotePrefix="1" applyNumberFormat="1" applyFont="1" applyAlignment="1">
      <alignment horizontal="right"/>
    </xf>
    <xf numFmtId="0" fontId="19" fillId="0" borderId="0" xfId="155" quotePrefix="1" applyFont="1" applyAlignment="1">
      <alignment horizontal="right"/>
    </xf>
    <xf numFmtId="15" fontId="5" fillId="0" borderId="0" xfId="0" applyNumberFormat="1" applyFont="1" applyAlignment="1">
      <alignment horizontal="right"/>
    </xf>
    <xf numFmtId="0" fontId="19" fillId="0" borderId="0" xfId="0" applyFont="1" applyAlignment="1">
      <alignment horizontal="right"/>
    </xf>
    <xf numFmtId="15" fontId="19" fillId="0" borderId="0" xfId="0" applyNumberFormat="1" applyFont="1" applyAlignment="1">
      <alignment horizontal="right"/>
    </xf>
    <xf numFmtId="15" fontId="1" fillId="0" borderId="0" xfId="0" applyNumberFormat="1" applyFont="1" applyAlignment="1">
      <alignment horizontal="left"/>
    </xf>
    <xf numFmtId="15" fontId="52" fillId="0" borderId="0" xfId="0" applyNumberFormat="1" applyFont="1" applyAlignment="1">
      <alignment horizontal="left"/>
    </xf>
    <xf numFmtId="0" fontId="0" fillId="0" borderId="0" xfId="0" applyAlignment="1">
      <alignment horizontal="left"/>
    </xf>
    <xf numFmtId="2" fontId="0" fillId="0" borderId="0" xfId="0" applyNumberFormat="1"/>
    <xf numFmtId="2" fontId="19" fillId="0" borderId="0" xfId="0" applyNumberFormat="1" applyFont="1" applyAlignment="1">
      <alignment horizontal="center" vertical="center"/>
    </xf>
    <xf numFmtId="2" fontId="19" fillId="0" borderId="0" xfId="155" applyNumberFormat="1" applyFont="1" applyAlignment="1">
      <alignment horizontal="center" vertical="center"/>
    </xf>
    <xf numFmtId="180" fontId="19" fillId="0" borderId="0" xfId="71" applyNumberFormat="1"/>
    <xf numFmtId="2" fontId="54" fillId="0" borderId="0" xfId="0" applyNumberFormat="1" applyFont="1" applyAlignment="1">
      <alignment horizontal="center"/>
    </xf>
    <xf numFmtId="2" fontId="54" fillId="0" borderId="0" xfId="0" applyNumberFormat="1" applyFont="1" applyAlignment="1">
      <alignment horizontal="center" vertical="center"/>
    </xf>
    <xf numFmtId="2" fontId="54" fillId="0" borderId="0" xfId="155" applyNumberFormat="1" applyFont="1" applyAlignment="1">
      <alignment horizontal="center"/>
    </xf>
    <xf numFmtId="168" fontId="0" fillId="0" borderId="0" xfId="0" applyNumberFormat="1"/>
    <xf numFmtId="2" fontId="19" fillId="0" borderId="0" xfId="143" applyNumberFormat="1" applyFont="1" applyAlignment="1">
      <alignment horizontal="center" vertical="center"/>
    </xf>
    <xf numFmtId="2" fontId="54" fillId="0" borderId="0" xfId="44" applyNumberFormat="1" applyFont="1"/>
    <xf numFmtId="174" fontId="40" fillId="0" borderId="11" xfId="0" applyNumberFormat="1" applyFont="1" applyBorder="1" applyAlignment="1">
      <alignment horizontal="right"/>
    </xf>
    <xf numFmtId="0" fontId="45" fillId="33" borderId="10" xfId="49" applyFont="1" applyFill="1" applyBorder="1" applyAlignment="1">
      <alignment horizontal="right" vertical="center"/>
    </xf>
    <xf numFmtId="37" fontId="40" fillId="36" borderId="11" xfId="149" quotePrefix="1" applyNumberFormat="1" applyFont="1" applyFill="1" applyBorder="1" applyAlignment="1">
      <alignment horizontal="right"/>
    </xf>
    <xf numFmtId="174" fontId="40" fillId="36" borderId="11" xfId="149" quotePrefix="1" applyNumberFormat="1" applyFont="1" applyFill="1" applyBorder="1" applyAlignment="1">
      <alignment horizontal="right"/>
    </xf>
    <xf numFmtId="174" fontId="40" fillId="36" borderId="11" xfId="0" applyNumberFormat="1" applyFont="1" applyFill="1" applyBorder="1" applyAlignment="1">
      <alignment horizontal="right"/>
    </xf>
    <xf numFmtId="177" fontId="40" fillId="36" borderId="11" xfId="149" quotePrefix="1" applyNumberFormat="1" applyFont="1" applyFill="1" applyBorder="1" applyAlignment="1">
      <alignment horizontal="right"/>
    </xf>
    <xf numFmtId="3" fontId="40" fillId="36" borderId="10" xfId="149" quotePrefix="1" applyNumberFormat="1" applyFont="1" applyFill="1" applyBorder="1" applyAlignment="1">
      <alignment horizontal="right"/>
    </xf>
    <xf numFmtId="0" fontId="45" fillId="33" borderId="11" xfId="49" applyFont="1" applyFill="1" applyBorder="1" applyAlignment="1">
      <alignment horizontal="right" vertical="center"/>
    </xf>
    <xf numFmtId="37" fontId="40" fillId="0" borderId="10" xfId="149" quotePrefix="1" applyNumberFormat="1" applyFont="1" applyFill="1" applyBorder="1" applyAlignment="1">
      <alignment horizontal="right"/>
    </xf>
    <xf numFmtId="174" fontId="40" fillId="0" borderId="11" xfId="150" quotePrefix="1" applyNumberFormat="1" applyFont="1" applyFill="1" applyBorder="1" applyAlignment="1">
      <alignment horizontal="right"/>
    </xf>
    <xf numFmtId="174" fontId="40" fillId="0" borderId="11" xfId="149" quotePrefix="1" applyNumberFormat="1" applyFont="1" applyFill="1" applyBorder="1" applyAlignment="1">
      <alignment horizontal="right"/>
    </xf>
    <xf numFmtId="174" fontId="55" fillId="0" borderId="11" xfId="0" applyNumberFormat="1" applyFont="1" applyBorder="1" applyAlignment="1">
      <alignment horizontal="right"/>
    </xf>
    <xf numFmtId="174" fontId="40" fillId="0" borderId="12" xfId="0" applyNumberFormat="1" applyFont="1" applyBorder="1" applyAlignment="1">
      <alignment horizontal="right"/>
    </xf>
    <xf numFmtId="177" fontId="40" fillId="0" borderId="10" xfId="149" quotePrefix="1" applyNumberFormat="1" applyFont="1" applyFill="1" applyBorder="1" applyAlignment="1">
      <alignment horizontal="right"/>
    </xf>
    <xf numFmtId="39" fontId="40" fillId="0" borderId="10" xfId="149" quotePrefix="1" applyNumberFormat="1" applyFont="1" applyFill="1" applyBorder="1" applyAlignment="1">
      <alignment horizontal="right"/>
    </xf>
    <xf numFmtId="178" fontId="40" fillId="0" borderId="10" xfId="149" quotePrefix="1" applyNumberFormat="1" applyFont="1" applyFill="1" applyBorder="1" applyAlignment="1">
      <alignment horizontal="right"/>
    </xf>
    <xf numFmtId="0" fontId="55" fillId="33" borderId="16" xfId="0" applyFont="1" applyFill="1" applyBorder="1" applyAlignment="1">
      <alignment horizontal="right"/>
    </xf>
    <xf numFmtId="0" fontId="20" fillId="33" borderId="16" xfId="0" applyFont="1" applyFill="1" applyBorder="1" applyAlignment="1">
      <alignment horizontal="right" vertical="center"/>
    </xf>
    <xf numFmtId="0" fontId="55" fillId="33" borderId="17" xfId="0" applyFont="1" applyFill="1" applyBorder="1" applyAlignment="1">
      <alignment horizontal="right"/>
    </xf>
    <xf numFmtId="0" fontId="20" fillId="33" borderId="17" xfId="0" applyFont="1" applyFill="1" applyBorder="1" applyAlignment="1">
      <alignment horizontal="right" vertical="center"/>
    </xf>
    <xf numFmtId="37" fontId="40" fillId="0" borderId="10" xfId="150" quotePrefix="1" applyNumberFormat="1" applyFont="1" applyFill="1" applyBorder="1" applyAlignment="1">
      <alignment horizontal="right"/>
    </xf>
    <xf numFmtId="37" fontId="40" fillId="0" borderId="11" xfId="150" quotePrefix="1" applyNumberFormat="1" applyFont="1" applyFill="1" applyBorder="1" applyAlignment="1">
      <alignment horizontal="right"/>
    </xf>
    <xf numFmtId="177" fontId="40" fillId="0" borderId="11" xfId="150" quotePrefix="1" applyNumberFormat="1" applyFont="1" applyFill="1" applyBorder="1" applyAlignment="1">
      <alignment horizontal="right"/>
    </xf>
    <xf numFmtId="37" fontId="40" fillId="0" borderId="11" xfId="149" quotePrefix="1" applyNumberFormat="1" applyFont="1" applyFill="1" applyBorder="1" applyAlignment="1">
      <alignment horizontal="right"/>
    </xf>
    <xf numFmtId="181" fontId="40" fillId="0" borderId="11" xfId="150" quotePrefix="1" applyNumberFormat="1" applyFont="1" applyFill="1" applyBorder="1" applyAlignment="1">
      <alignment horizontal="right"/>
    </xf>
    <xf numFmtId="37" fontId="39" fillId="0" borderId="11" xfId="149" applyNumberFormat="1" applyFont="1" applyFill="1" applyBorder="1" applyAlignment="1">
      <alignment horizontal="right"/>
    </xf>
    <xf numFmtId="37" fontId="40" fillId="0" borderId="11" xfId="149" applyNumberFormat="1" applyFont="1" applyFill="1" applyBorder="1" applyAlignment="1">
      <alignment horizontal="right"/>
    </xf>
    <xf numFmtId="0" fontId="19" fillId="0" borderId="0" xfId="0" applyFont="1" applyAlignment="1">
      <alignment horizontal="center" vertical="center"/>
    </xf>
    <xf numFmtId="0" fontId="19" fillId="0" borderId="0" xfId="155" applyFont="1" applyAlignment="1">
      <alignment horizontal="center" vertical="center"/>
    </xf>
    <xf numFmtId="0" fontId="19" fillId="0" borderId="0" xfId="143" applyFont="1" applyAlignment="1">
      <alignment horizontal="center"/>
    </xf>
    <xf numFmtId="2" fontId="0" fillId="0" borderId="0" xfId="0" applyNumberFormat="1" applyAlignment="1">
      <alignment horizontal="center" vertical="center"/>
    </xf>
    <xf numFmtId="2" fontId="0" fillId="0" borderId="0" xfId="0" applyNumberFormat="1" applyAlignment="1">
      <alignment horizontal="center"/>
    </xf>
    <xf numFmtId="168" fontId="54" fillId="0" borderId="0" xfId="54" applyNumberFormat="1" applyFont="1"/>
    <xf numFmtId="37" fontId="39" fillId="37" borderId="10" xfId="149" quotePrefix="1" applyNumberFormat="1" applyFont="1" applyFill="1" applyBorder="1" applyAlignment="1">
      <alignment horizontal="right"/>
    </xf>
    <xf numFmtId="174" fontId="39" fillId="37" borderId="11" xfId="0" applyNumberFormat="1" applyFont="1" applyFill="1" applyBorder="1" applyAlignment="1">
      <alignment horizontal="right"/>
    </xf>
    <xf numFmtId="37" fontId="40" fillId="37" borderId="10" xfId="149" quotePrefix="1" applyNumberFormat="1" applyFont="1" applyFill="1" applyBorder="1" applyAlignment="1">
      <alignment horizontal="right"/>
    </xf>
    <xf numFmtId="174" fontId="40" fillId="37" borderId="11" xfId="0" applyNumberFormat="1" applyFont="1" applyFill="1" applyBorder="1" applyAlignment="1">
      <alignment horizontal="right"/>
    </xf>
    <xf numFmtId="2" fontId="54" fillId="0" borderId="0" xfId="155" applyNumberFormat="1" applyFont="1" applyAlignment="1">
      <alignment horizontal="center" vertical="center"/>
    </xf>
    <xf numFmtId="0" fontId="54" fillId="0" borderId="0" xfId="155" applyFont="1" applyAlignment="1">
      <alignment horizontal="center" vertical="center"/>
    </xf>
    <xf numFmtId="168" fontId="19" fillId="0" borderId="0" xfId="143" applyNumberFormat="1" applyFont="1" applyAlignment="1">
      <alignment horizontal="center"/>
    </xf>
    <xf numFmtId="0" fontId="37" fillId="0" borderId="0" xfId="47" applyFont="1" applyAlignment="1">
      <alignment horizontal="left" vertical="top" wrapText="1"/>
    </xf>
    <xf numFmtId="0" fontId="18" fillId="0" borderId="0" xfId="47" applyFont="1" applyAlignment="1">
      <alignment horizontal="center"/>
    </xf>
  </cellXfs>
  <cellStyles count="156">
    <cellStyle name=" 1" xfId="74" xr:uid="{00000000-0005-0000-0000-000000000000}"/>
    <cellStyle name=" 1 10" xfId="75" xr:uid="{00000000-0005-0000-0000-000001000000}"/>
    <cellStyle name=" 1 2" xfId="76" xr:uid="{00000000-0005-0000-0000-000002000000}"/>
    <cellStyle name=" 1 2 2" xfId="77" xr:uid="{00000000-0005-0000-0000-000003000000}"/>
    <cellStyle name=" 1 2_Foster Alone" xfId="78" xr:uid="{00000000-0005-0000-0000-000004000000}"/>
    <cellStyle name=" 1 3" xfId="79" xr:uid="{00000000-0005-0000-0000-000005000000}"/>
    <cellStyle name=" 1 4" xfId="80" xr:uid="{00000000-0005-0000-0000-000006000000}"/>
    <cellStyle name=" 1 4 2" xfId="81" xr:uid="{00000000-0005-0000-0000-000007000000}"/>
    <cellStyle name=" 1 4_Foster Alone" xfId="82" xr:uid="{00000000-0005-0000-0000-000008000000}"/>
    <cellStyle name=" 1 5" xfId="83" xr:uid="{00000000-0005-0000-0000-000009000000}"/>
    <cellStyle name=" 1 5 2" xfId="84" xr:uid="{00000000-0005-0000-0000-00000A000000}"/>
    <cellStyle name=" 1 6" xfId="85" xr:uid="{00000000-0005-0000-0000-00000B000000}"/>
    <cellStyle name=" 1 7" xfId="86" xr:uid="{00000000-0005-0000-0000-00000C000000}"/>
    <cellStyle name=" 1 8" xfId="87" xr:uid="{00000000-0005-0000-0000-00000D000000}"/>
    <cellStyle name=" 1 9" xfId="88" xr:uid="{00000000-0005-0000-0000-00000E000000}"/>
    <cellStyle name="20% - Accent1" xfId="20" builtinId="30" hidden="1" customBuiltin="1"/>
    <cellStyle name="20% - Accent1 10 2 2" xfId="69" xr:uid="{00000000-0005-0000-0000-000010000000}"/>
    <cellStyle name="20% - Accent1 10 2 2 2" xfId="90" xr:uid="{00000000-0005-0000-0000-000011000000}"/>
    <cellStyle name="20% - Accent1 10 2 2 2 2" xfId="106" xr:uid="{00000000-0005-0000-0000-000012000000}"/>
    <cellStyle name="20% - Accent1 10 2 2 2 2 2" xfId="124" xr:uid="{00000000-0005-0000-0000-000013000000}"/>
    <cellStyle name="20% - Accent1 10 2 2 2 2 2 2" xfId="142" xr:uid="{00000000-0005-0000-0000-000014000000}"/>
    <cellStyle name="20% - Accent1 10 2 2 2 2 3" xfId="122" xr:uid="{00000000-0005-0000-0000-000015000000}"/>
    <cellStyle name="20% - Accent1 10 2 2 2 2 4" xfId="140" xr:uid="{00000000-0005-0000-0000-000016000000}"/>
    <cellStyle name="20% - Accent1 10 2 2 2 3" xfId="101" xr:uid="{00000000-0005-0000-0000-000017000000}"/>
    <cellStyle name="20% - Accent1 10 2 2 2 4" xfId="117" xr:uid="{00000000-0005-0000-0000-000018000000}"/>
    <cellStyle name="20% - Accent1 10 2 2 2 5" xfId="135" xr:uid="{00000000-0005-0000-0000-000019000000}"/>
    <cellStyle name="20% - Accent1 10 2 2 3" xfId="97" xr:uid="{00000000-0005-0000-0000-00001A000000}"/>
    <cellStyle name="20% - Accent1 10 2 2 4" xfId="113" xr:uid="{00000000-0005-0000-0000-00001B000000}"/>
    <cellStyle name="20% - Accent1 10 2 2 5" xfId="131" xr:uid="{00000000-0005-0000-0000-00001C000000}"/>
    <cellStyle name="20% - Accent2" xfId="24" builtinId="34" hidden="1" customBuiltin="1"/>
    <cellStyle name="20% - Accent3" xfId="28" builtinId="38" hidden="1" customBuiltin="1"/>
    <cellStyle name="20% - Accent4" xfId="32" builtinId="42" hidden="1" customBuiltin="1"/>
    <cellStyle name="20% - Accent5" xfId="36" builtinId="46" hidden="1" customBuiltin="1"/>
    <cellStyle name="20% - Accent6" xfId="40" builtinId="50" hidden="1" customBuiltin="1"/>
    <cellStyle name="40% - Accent1" xfId="21" builtinId="31" hidden="1" customBuiltin="1"/>
    <cellStyle name="40% - Accent2" xfId="25" builtinId="35" hidden="1" customBuiltin="1"/>
    <cellStyle name="40% - Accent3" xfId="29" builtinId="39" hidden="1" customBuiltin="1"/>
    <cellStyle name="40% - Accent4" xfId="33" builtinId="43" hidden="1" customBuiltin="1"/>
    <cellStyle name="40% - Accent5" xfId="37" builtinId="47" hidden="1" customBuiltin="1"/>
    <cellStyle name="40% - Accent6" xfId="41" builtinId="51" hidden="1" customBuiltin="1"/>
    <cellStyle name="60% - Accent1" xfId="22" builtinId="32" hidden="1" customBuiltin="1"/>
    <cellStyle name="60% - Accent2" xfId="26" builtinId="36" hidden="1" customBuiltin="1"/>
    <cellStyle name="60% - Accent3" xfId="30" builtinId="40" hidden="1" customBuiltin="1"/>
    <cellStyle name="60% - Accent4" xfId="34" builtinId="44" hidden="1" customBuiltin="1"/>
    <cellStyle name="60% - Accent5" xfId="38" builtinId="48" hidden="1" customBuiltin="1"/>
    <cellStyle name="60% - Accent6" xfId="42" builtinId="52" hidden="1" customBuiltin="1"/>
    <cellStyle name="Accent1" xfId="19" builtinId="29" hidden="1" customBuiltin="1"/>
    <cellStyle name="Accent2" xfId="23" builtinId="33" hidden="1" customBuiltin="1"/>
    <cellStyle name="Accent3" xfId="27" builtinId="37" hidden="1" customBuiltin="1"/>
    <cellStyle name="Accent4" xfId="31" builtinId="41" hidden="1" customBuiltin="1"/>
    <cellStyle name="Accent5" xfId="35" builtinId="45" hidden="1" customBuiltin="1"/>
    <cellStyle name="Accent6" xfId="39" builtinId="49" hidden="1" customBuiltin="1"/>
    <cellStyle name="Bad" xfId="9" builtinId="27" hidden="1" customBuiltin="1"/>
    <cellStyle name="Calculation" xfId="13" builtinId="22" hidden="1" customBuiltin="1"/>
    <cellStyle name="Check Cell" xfId="15" builtinId="23" hidden="1" customBuiltin="1"/>
    <cellStyle name="Comma" xfId="55" builtinId="3" hidden="1"/>
    <cellStyle name="Comma [0]" xfId="56" builtinId="6" hidden="1"/>
    <cellStyle name="Comma 10 10" xfId="48" xr:uid="{00000000-0005-0000-0000-000039000000}"/>
    <cellStyle name="Comma 10 10 2" xfId="149" xr:uid="{00000000-0005-0000-0000-00003A000000}"/>
    <cellStyle name="Comma 2" xfId="1" xr:uid="{00000000-0005-0000-0000-00003B000000}"/>
    <cellStyle name="Comma 2 2" xfId="150" xr:uid="{00000000-0005-0000-0000-00003C000000}"/>
    <cellStyle name="Currency" xfId="57" builtinId="4" hidden="1"/>
    <cellStyle name="Currency [0]" xfId="58" builtinId="7" hidden="1"/>
    <cellStyle name="Explanatory Text" xfId="17" builtinId="53" hidden="1" customBuiltin="1"/>
    <cellStyle name="Good" xfId="8" builtinId="26" hidden="1" customBuiltin="1"/>
    <cellStyle name="Heading 1" xfId="4" builtinId="16" hidden="1" customBuiltin="1"/>
    <cellStyle name="Heading 2" xfId="5" builtinId="17" hidden="1" customBuiltin="1"/>
    <cellStyle name="Heading 3" xfId="6" builtinId="18" hidden="1" customBuiltin="1"/>
    <cellStyle name="Heading 4" xfId="7" builtinId="19" hidden="1" customBuiltin="1"/>
    <cellStyle name="Hyperlink" xfId="53" builtinId="8"/>
    <cellStyle name="Hyperlink 2" xfId="67" xr:uid="{00000000-0005-0000-0000-000046000000}"/>
    <cellStyle name="Input" xfId="11" builtinId="20" hidden="1" customBuiltin="1"/>
    <cellStyle name="Linked Cell" xfId="14" builtinId="24" hidden="1" customBuiltin="1"/>
    <cellStyle name="Neutral" xfId="10" builtinId="28" hidden="1" customBuiltin="1"/>
    <cellStyle name="Normal" xfId="0" builtinId="0"/>
    <cellStyle name="Normal 10" xfId="143" xr:uid="{00000000-0005-0000-0000-00004B000000}"/>
    <cellStyle name="Normal 10 10" xfId="45" xr:uid="{00000000-0005-0000-0000-00004C000000}"/>
    <cellStyle name="Normal 10 10 2" xfId="46" xr:uid="{00000000-0005-0000-0000-00004D000000}"/>
    <cellStyle name="Normal 10 10 2 2" xfId="89" xr:uid="{00000000-0005-0000-0000-00004E000000}"/>
    <cellStyle name="Normal 10 10 2 2 2" xfId="105" xr:uid="{00000000-0005-0000-0000-00004F000000}"/>
    <cellStyle name="Normal 10 10 2 2 2 2" xfId="123" xr:uid="{00000000-0005-0000-0000-000050000000}"/>
    <cellStyle name="Normal 10 10 2 2 2 3" xfId="141" xr:uid="{00000000-0005-0000-0000-000051000000}"/>
    <cellStyle name="Normal 10 10 2 2 3" xfId="121" xr:uid="{00000000-0005-0000-0000-000052000000}"/>
    <cellStyle name="Normal 10 10 2 2 4" xfId="139" xr:uid="{00000000-0005-0000-0000-000053000000}"/>
    <cellStyle name="Normal 10 10 2 3" xfId="100" xr:uid="{00000000-0005-0000-0000-000054000000}"/>
    <cellStyle name="Normal 10 10 2 4" xfId="116" xr:uid="{00000000-0005-0000-0000-000055000000}"/>
    <cellStyle name="Normal 10 10 2 5" xfId="134" xr:uid="{00000000-0005-0000-0000-000056000000}"/>
    <cellStyle name="Normal 10 10 3" xfId="70" xr:uid="{00000000-0005-0000-0000-000057000000}"/>
    <cellStyle name="Normal 10 10 4" xfId="98" xr:uid="{00000000-0005-0000-0000-000058000000}"/>
    <cellStyle name="Normal 10 10 5" xfId="114" xr:uid="{00000000-0005-0000-0000-000059000000}"/>
    <cellStyle name="Normal 10 10 6" xfId="132" xr:uid="{00000000-0005-0000-0000-00005A000000}"/>
    <cellStyle name="Normal 10 2" xfId="154" xr:uid="{E16786E3-2315-40F3-B601-314A7757F306}"/>
    <cellStyle name="Normal 10 2 12" xfId="71" xr:uid="{00000000-0005-0000-0000-00005B000000}"/>
    <cellStyle name="Normal 10 2 2" xfId="155" xr:uid="{6019585B-3061-461F-B73E-7A89D69967F7}"/>
    <cellStyle name="Normal 10 6 9" xfId="47" xr:uid="{00000000-0005-0000-0000-00005C000000}"/>
    <cellStyle name="Normal 12" xfId="147" xr:uid="{00000000-0005-0000-0000-00005D000000}"/>
    <cellStyle name="Normal 13 11" xfId="151" xr:uid="{684EE3EA-D9A3-4F8F-BCB8-A6C4B05E9F35}"/>
    <cellStyle name="Normal 13 2" xfId="148" xr:uid="{00000000-0005-0000-0000-00005E000000}"/>
    <cellStyle name="Normal 16 3" xfId="68" xr:uid="{00000000-0005-0000-0000-00005F000000}"/>
    <cellStyle name="Normal 16 3 2" xfId="96" xr:uid="{00000000-0005-0000-0000-000060000000}"/>
    <cellStyle name="Normal 16 3 3" xfId="112" xr:uid="{00000000-0005-0000-0000-000061000000}"/>
    <cellStyle name="Normal 16 3 4" xfId="130" xr:uid="{00000000-0005-0000-0000-000062000000}"/>
    <cellStyle name="Normal 2 2" xfId="2" xr:uid="{00000000-0005-0000-0000-000063000000}"/>
    <cellStyle name="Normal 2 3" xfId="153" xr:uid="{2CBB589E-F3F7-4423-A805-F0D694678C0F}"/>
    <cellStyle name="Normal 2 44" xfId="54" xr:uid="{00000000-0005-0000-0000-000064000000}"/>
    <cellStyle name="Normal 2 44 2" xfId="73" xr:uid="{00000000-0005-0000-0000-000065000000}"/>
    <cellStyle name="Normal 2 44 3" xfId="99" xr:uid="{00000000-0005-0000-0000-000066000000}"/>
    <cellStyle name="Normal 2 44 4" xfId="115" xr:uid="{00000000-0005-0000-0000-000067000000}"/>
    <cellStyle name="Normal 2 44 5" xfId="133" xr:uid="{00000000-0005-0000-0000-000068000000}"/>
    <cellStyle name="Normal 22" xfId="61" xr:uid="{00000000-0005-0000-0000-000069000000}"/>
    <cellStyle name="Normal 23" xfId="43" xr:uid="{00000000-0005-0000-0000-00006A000000}"/>
    <cellStyle name="Normal 23 2" xfId="62" xr:uid="{00000000-0005-0000-0000-00006B000000}"/>
    <cellStyle name="Normal 23 2 2" xfId="102" xr:uid="{00000000-0005-0000-0000-00006C000000}"/>
    <cellStyle name="Normal 23 2 2 2" xfId="144" xr:uid="{00000000-0005-0000-0000-00006D000000}"/>
    <cellStyle name="Normal 23 2 3" xfId="118" xr:uid="{00000000-0005-0000-0000-00006E000000}"/>
    <cellStyle name="Normal 23 2 4" xfId="136" xr:uid="{00000000-0005-0000-0000-00006F000000}"/>
    <cellStyle name="Normal 23 3" xfId="91" xr:uid="{00000000-0005-0000-0000-000070000000}"/>
    <cellStyle name="Normal 23 4" xfId="107" xr:uid="{00000000-0005-0000-0000-000071000000}"/>
    <cellStyle name="Normal 23 5" xfId="125" xr:uid="{00000000-0005-0000-0000-000072000000}"/>
    <cellStyle name="Normal 24" xfId="63" xr:uid="{00000000-0005-0000-0000-000073000000}"/>
    <cellStyle name="Normal 24 2" xfId="92" xr:uid="{00000000-0005-0000-0000-000074000000}"/>
    <cellStyle name="Normal 24 3" xfId="108" xr:uid="{00000000-0005-0000-0000-000075000000}"/>
    <cellStyle name="Normal 24 4" xfId="126" xr:uid="{00000000-0005-0000-0000-000076000000}"/>
    <cellStyle name="Normal 25" xfId="64" xr:uid="{00000000-0005-0000-0000-000077000000}"/>
    <cellStyle name="Normal 25 2" xfId="103" xr:uid="{00000000-0005-0000-0000-000078000000}"/>
    <cellStyle name="Normal 25 2 2" xfId="119" xr:uid="{00000000-0005-0000-0000-000079000000}"/>
    <cellStyle name="Normal 25 2 3" xfId="137" xr:uid="{00000000-0005-0000-0000-00007A000000}"/>
    <cellStyle name="Normal 25 2 4" xfId="146" xr:uid="{00000000-0005-0000-0000-00007B000000}"/>
    <cellStyle name="Normal 25 3" xfId="93" xr:uid="{00000000-0005-0000-0000-00007C000000}"/>
    <cellStyle name="Normal 25 4" xfId="109" xr:uid="{00000000-0005-0000-0000-00007D000000}"/>
    <cellStyle name="Normal 25 5" xfId="127" xr:uid="{00000000-0005-0000-0000-00007E000000}"/>
    <cellStyle name="Normal 26" xfId="65" xr:uid="{00000000-0005-0000-0000-00007F000000}"/>
    <cellStyle name="Normal 26 2" xfId="104" xr:uid="{00000000-0005-0000-0000-000080000000}"/>
    <cellStyle name="Normal 26 2 2" xfId="120" xr:uid="{00000000-0005-0000-0000-000081000000}"/>
    <cellStyle name="Normal 26 2 3" xfId="138" xr:uid="{00000000-0005-0000-0000-000082000000}"/>
    <cellStyle name="Normal 26 3" xfId="94" xr:uid="{00000000-0005-0000-0000-000083000000}"/>
    <cellStyle name="Normal 26 3 2" xfId="145" xr:uid="{00000000-0005-0000-0000-000084000000}"/>
    <cellStyle name="Normal 26 4" xfId="110" xr:uid="{00000000-0005-0000-0000-000085000000}"/>
    <cellStyle name="Normal 26 5" xfId="128" xr:uid="{00000000-0005-0000-0000-000086000000}"/>
    <cellStyle name="Normal 27" xfId="44" xr:uid="{00000000-0005-0000-0000-000087000000}"/>
    <cellStyle name="Normal 27 2" xfId="66" xr:uid="{00000000-0005-0000-0000-000088000000}"/>
    <cellStyle name="Normal 27 3" xfId="95" xr:uid="{00000000-0005-0000-0000-000089000000}"/>
    <cellStyle name="Normal 27 4" xfId="111" xr:uid="{00000000-0005-0000-0000-00008A000000}"/>
    <cellStyle name="Normal 27 5" xfId="129" xr:uid="{00000000-0005-0000-0000-00008B000000}"/>
    <cellStyle name="Normal 3" xfId="152" xr:uid="{0EA00FE1-E3C2-40EF-A10C-3C600E79699E}"/>
    <cellStyle name="Normal 36" xfId="72" xr:uid="{00000000-0005-0000-0000-00008C000000}"/>
    <cellStyle name="Normal 36 2" xfId="49" xr:uid="{00000000-0005-0000-0000-00008D000000}"/>
    <cellStyle name="Normal 5 4" xfId="51" xr:uid="{00000000-0005-0000-0000-00008E000000}"/>
    <cellStyle name="Normal 57" xfId="52" xr:uid="{00000000-0005-0000-0000-00008F000000}"/>
    <cellStyle name="Note" xfId="60" builtinId="10" hidden="1"/>
    <cellStyle name="Output" xfId="12" builtinId="21" hidden="1" customBuiltin="1"/>
    <cellStyle name="Percent" xfId="59" builtinId="5" hidden="1"/>
    <cellStyle name="Percent 11 4 9" xfId="50" xr:uid="{00000000-0005-0000-0000-000093000000}"/>
    <cellStyle name="Title" xfId="3" builtinId="15" hidden="1" customBuiltin="1"/>
    <cellStyle name="Total" xfId="18" builtinId="25" hidden="1" customBuiltin="1"/>
    <cellStyle name="Warning Text" xfId="16" builtinId="11" hidden="1" customBuiltin="1"/>
  </cellStyles>
  <dxfs count="1">
    <dxf>
      <font>
        <b/>
        <i val="0"/>
        <strike val="0"/>
        <u val="double"/>
        <color rgb="FFFF0000"/>
      </font>
    </dxf>
  </dxfs>
  <tableStyles count="0" defaultTableStyle="TableStyleMedium9" defaultPivotStyle="PivotStyleLight16"/>
  <colors>
    <mruColors>
      <color rgb="FF0081AB"/>
      <color rgb="FF4BACC6"/>
      <color rgb="FFF79607"/>
      <color rgb="FFEDB70A"/>
      <color rgb="FFEDB700"/>
      <color rgb="FF005072"/>
      <color rgb="FFA47700"/>
      <color rgb="FF00AAD2"/>
      <color rgb="FF404040"/>
      <color rgb="FF6A73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1647825</xdr:colOff>
      <xdr:row>35</xdr:row>
      <xdr:rowOff>9525</xdr:rowOff>
    </xdr:from>
    <xdr:ext cx="0" cy="294543"/>
    <xdr:pic>
      <xdr:nvPicPr>
        <xdr:cNvPr id="25" name="Picture 24" descr="NewStar.png">
          <a:extLst>
            <a:ext uri="{FF2B5EF4-FFF2-40B4-BE49-F238E27FC236}">
              <a16:creationId xmlns:a16="http://schemas.microsoft.com/office/drawing/2014/main" id="{00000000-0008-0000-0000-000019000000}"/>
            </a:ext>
          </a:extLst>
        </xdr:cNvPr>
        <xdr:cNvPicPr>
          <a:picLocks/>
        </xdr:cNvPicPr>
      </xdr:nvPicPr>
      <xdr:blipFill>
        <a:blip xmlns:r="http://schemas.openxmlformats.org/officeDocument/2006/relationships" r:embed="rId1" cstate="print"/>
        <a:stretch>
          <a:fillRect/>
        </a:stretch>
      </xdr:blipFill>
      <xdr:spPr>
        <a:xfrm>
          <a:off x="1647825" y="6715125"/>
          <a:ext cx="0" cy="294543"/>
        </a:xfrm>
        <a:prstGeom prst="rect">
          <a:avLst/>
        </a:prstGeom>
      </xdr:spPr>
    </xdr:pic>
    <xdr:clientData/>
  </xdr:oneCellAnchor>
  <xdr:oneCellAnchor>
    <xdr:from>
      <xdr:col>0</xdr:col>
      <xdr:colOff>1647825</xdr:colOff>
      <xdr:row>37</xdr:row>
      <xdr:rowOff>9525</xdr:rowOff>
    </xdr:from>
    <xdr:ext cx="0" cy="294543"/>
    <xdr:pic>
      <xdr:nvPicPr>
        <xdr:cNvPr id="26" name="Picture 25" descr="NewStar.png">
          <a:extLst>
            <a:ext uri="{FF2B5EF4-FFF2-40B4-BE49-F238E27FC236}">
              <a16:creationId xmlns:a16="http://schemas.microsoft.com/office/drawing/2014/main" id="{00000000-0008-0000-0000-00001A000000}"/>
            </a:ext>
          </a:extLst>
        </xdr:cNvPr>
        <xdr:cNvPicPr>
          <a:picLocks/>
        </xdr:cNvPicPr>
      </xdr:nvPicPr>
      <xdr:blipFill>
        <a:blip xmlns:r="http://schemas.openxmlformats.org/officeDocument/2006/relationships" r:embed="rId1" cstate="print"/>
        <a:stretch>
          <a:fillRect/>
        </a:stretch>
      </xdr:blipFill>
      <xdr:spPr>
        <a:xfrm>
          <a:off x="1647825" y="7096125"/>
          <a:ext cx="0" cy="294543"/>
        </a:xfrm>
        <a:prstGeom prst="rect">
          <a:avLst/>
        </a:prstGeom>
      </xdr:spPr>
    </xdr:pic>
    <xdr:clientData/>
  </xdr:oneCellAnchor>
  <xdr:oneCellAnchor>
    <xdr:from>
      <xdr:col>0</xdr:col>
      <xdr:colOff>1647825</xdr:colOff>
      <xdr:row>43</xdr:row>
      <xdr:rowOff>0</xdr:rowOff>
    </xdr:from>
    <xdr:ext cx="0" cy="294543"/>
    <xdr:pic>
      <xdr:nvPicPr>
        <xdr:cNvPr id="27" name="Picture 26" descr="NewStar.png">
          <a:extLst>
            <a:ext uri="{FF2B5EF4-FFF2-40B4-BE49-F238E27FC236}">
              <a16:creationId xmlns:a16="http://schemas.microsoft.com/office/drawing/2014/main" id="{00000000-0008-0000-0000-00001B000000}"/>
            </a:ext>
          </a:extLst>
        </xdr:cNvPr>
        <xdr:cNvPicPr>
          <a:picLocks/>
        </xdr:cNvPicPr>
      </xdr:nvPicPr>
      <xdr:blipFill>
        <a:blip xmlns:r="http://schemas.openxmlformats.org/officeDocument/2006/relationships" r:embed="rId1" cstate="print"/>
        <a:stretch>
          <a:fillRect/>
        </a:stretch>
      </xdr:blipFill>
      <xdr:spPr>
        <a:xfrm>
          <a:off x="1647825" y="8229600"/>
          <a:ext cx="0" cy="294543"/>
        </a:xfrm>
        <a:prstGeom prst="rect">
          <a:avLst/>
        </a:prstGeom>
      </xdr:spPr>
    </xdr:pic>
    <xdr:clientData/>
  </xdr:oneCellAnchor>
  <xdr:oneCellAnchor>
    <xdr:from>
      <xdr:col>0</xdr:col>
      <xdr:colOff>1647825</xdr:colOff>
      <xdr:row>43</xdr:row>
      <xdr:rowOff>9525</xdr:rowOff>
    </xdr:from>
    <xdr:ext cx="0" cy="294543"/>
    <xdr:pic>
      <xdr:nvPicPr>
        <xdr:cNvPr id="28" name="Picture 27" descr="NewStar.png">
          <a:extLst>
            <a:ext uri="{FF2B5EF4-FFF2-40B4-BE49-F238E27FC236}">
              <a16:creationId xmlns:a16="http://schemas.microsoft.com/office/drawing/2014/main" id="{00000000-0008-0000-0000-00001C000000}"/>
            </a:ext>
          </a:extLst>
        </xdr:cNvPr>
        <xdr:cNvPicPr>
          <a:picLocks/>
        </xdr:cNvPicPr>
      </xdr:nvPicPr>
      <xdr:blipFill>
        <a:blip xmlns:r="http://schemas.openxmlformats.org/officeDocument/2006/relationships" r:embed="rId1" cstate="print"/>
        <a:stretch>
          <a:fillRect/>
        </a:stretch>
      </xdr:blipFill>
      <xdr:spPr>
        <a:xfrm>
          <a:off x="1647825" y="8239125"/>
          <a:ext cx="0" cy="294543"/>
        </a:xfrm>
        <a:prstGeom prst="rect">
          <a:avLst/>
        </a:prstGeom>
      </xdr:spPr>
    </xdr:pic>
    <xdr:clientData/>
  </xdr:oneCellAnchor>
  <xdr:oneCellAnchor>
    <xdr:from>
      <xdr:col>0</xdr:col>
      <xdr:colOff>1647825</xdr:colOff>
      <xdr:row>41</xdr:row>
      <xdr:rowOff>0</xdr:rowOff>
    </xdr:from>
    <xdr:ext cx="0" cy="294543"/>
    <xdr:pic>
      <xdr:nvPicPr>
        <xdr:cNvPr id="29" name="Picture 28" descr="NewStar.png">
          <a:extLst>
            <a:ext uri="{FF2B5EF4-FFF2-40B4-BE49-F238E27FC236}">
              <a16:creationId xmlns:a16="http://schemas.microsoft.com/office/drawing/2014/main" id="{00000000-0008-0000-0000-00001D000000}"/>
            </a:ext>
          </a:extLst>
        </xdr:cNvPr>
        <xdr:cNvPicPr>
          <a:picLocks/>
        </xdr:cNvPicPr>
      </xdr:nvPicPr>
      <xdr:blipFill>
        <a:blip xmlns:r="http://schemas.openxmlformats.org/officeDocument/2006/relationships" r:embed="rId1" cstate="print"/>
        <a:stretch>
          <a:fillRect/>
        </a:stretch>
      </xdr:blipFill>
      <xdr:spPr>
        <a:xfrm>
          <a:off x="1647825" y="7848600"/>
          <a:ext cx="0" cy="294543"/>
        </a:xfrm>
        <a:prstGeom prst="rect">
          <a:avLst/>
        </a:prstGeom>
      </xdr:spPr>
    </xdr:pic>
    <xdr:clientData/>
  </xdr:oneCellAnchor>
  <xdr:oneCellAnchor>
    <xdr:from>
      <xdr:col>0</xdr:col>
      <xdr:colOff>1647825</xdr:colOff>
      <xdr:row>41</xdr:row>
      <xdr:rowOff>9525</xdr:rowOff>
    </xdr:from>
    <xdr:ext cx="0" cy="294543"/>
    <xdr:pic>
      <xdr:nvPicPr>
        <xdr:cNvPr id="30" name="Picture 29" descr="NewStar.png">
          <a:extLst>
            <a:ext uri="{FF2B5EF4-FFF2-40B4-BE49-F238E27FC236}">
              <a16:creationId xmlns:a16="http://schemas.microsoft.com/office/drawing/2014/main" id="{00000000-0008-0000-0000-00001E000000}"/>
            </a:ext>
          </a:extLst>
        </xdr:cNvPr>
        <xdr:cNvPicPr>
          <a:picLocks/>
        </xdr:cNvPicPr>
      </xdr:nvPicPr>
      <xdr:blipFill>
        <a:blip xmlns:r="http://schemas.openxmlformats.org/officeDocument/2006/relationships" r:embed="rId1" cstate="print"/>
        <a:stretch>
          <a:fillRect/>
        </a:stretch>
      </xdr:blipFill>
      <xdr:spPr>
        <a:xfrm>
          <a:off x="1647825" y="7858125"/>
          <a:ext cx="0" cy="294543"/>
        </a:xfrm>
        <a:prstGeom prst="rect">
          <a:avLst/>
        </a:prstGeom>
      </xdr:spPr>
    </xdr:pic>
    <xdr:clientData/>
  </xdr:oneCellAnchor>
  <xdr:oneCellAnchor>
    <xdr:from>
      <xdr:col>0</xdr:col>
      <xdr:colOff>1647825</xdr:colOff>
      <xdr:row>43</xdr:row>
      <xdr:rowOff>9525</xdr:rowOff>
    </xdr:from>
    <xdr:ext cx="0" cy="294543"/>
    <xdr:pic>
      <xdr:nvPicPr>
        <xdr:cNvPr id="31" name="Picture 30" descr="NewStar.png">
          <a:extLst>
            <a:ext uri="{FF2B5EF4-FFF2-40B4-BE49-F238E27FC236}">
              <a16:creationId xmlns:a16="http://schemas.microsoft.com/office/drawing/2014/main" id="{00000000-0008-0000-0000-00001F000000}"/>
            </a:ext>
          </a:extLst>
        </xdr:cNvPr>
        <xdr:cNvPicPr>
          <a:picLocks/>
        </xdr:cNvPicPr>
      </xdr:nvPicPr>
      <xdr:blipFill>
        <a:blip xmlns:r="http://schemas.openxmlformats.org/officeDocument/2006/relationships" r:embed="rId1" cstate="print"/>
        <a:stretch>
          <a:fillRect/>
        </a:stretch>
      </xdr:blipFill>
      <xdr:spPr>
        <a:xfrm>
          <a:off x="1647825" y="8239125"/>
          <a:ext cx="0" cy="294543"/>
        </a:xfrm>
        <a:prstGeom prst="rect">
          <a:avLst/>
        </a:prstGeom>
      </xdr:spPr>
    </xdr:pic>
    <xdr:clientData/>
  </xdr:oneCellAnchor>
  <xdr:oneCellAnchor>
    <xdr:from>
      <xdr:col>0</xdr:col>
      <xdr:colOff>1647825</xdr:colOff>
      <xdr:row>43</xdr:row>
      <xdr:rowOff>9525</xdr:rowOff>
    </xdr:from>
    <xdr:ext cx="0" cy="294543"/>
    <xdr:pic>
      <xdr:nvPicPr>
        <xdr:cNvPr id="32" name="Picture 31" descr="NewStar.png">
          <a:extLst>
            <a:ext uri="{FF2B5EF4-FFF2-40B4-BE49-F238E27FC236}">
              <a16:creationId xmlns:a16="http://schemas.microsoft.com/office/drawing/2014/main" id="{00000000-0008-0000-0000-000020000000}"/>
            </a:ext>
          </a:extLst>
        </xdr:cNvPr>
        <xdr:cNvPicPr>
          <a:picLocks/>
        </xdr:cNvPicPr>
      </xdr:nvPicPr>
      <xdr:blipFill>
        <a:blip xmlns:r="http://schemas.openxmlformats.org/officeDocument/2006/relationships" r:embed="rId1" cstate="print"/>
        <a:stretch>
          <a:fillRect/>
        </a:stretch>
      </xdr:blipFill>
      <xdr:spPr>
        <a:xfrm>
          <a:off x="1647825" y="8239125"/>
          <a:ext cx="0" cy="294543"/>
        </a:xfrm>
        <a:prstGeom prst="rect">
          <a:avLst/>
        </a:prstGeom>
      </xdr:spPr>
    </xdr:pic>
    <xdr:clientData/>
  </xdr:oneCellAnchor>
  <xdr:oneCellAnchor>
    <xdr:from>
      <xdr:col>0</xdr:col>
      <xdr:colOff>1647825</xdr:colOff>
      <xdr:row>48</xdr:row>
      <xdr:rowOff>0</xdr:rowOff>
    </xdr:from>
    <xdr:ext cx="0" cy="294543"/>
    <xdr:pic>
      <xdr:nvPicPr>
        <xdr:cNvPr id="35" name="Picture 34" descr="NewStar.png">
          <a:extLst>
            <a:ext uri="{FF2B5EF4-FFF2-40B4-BE49-F238E27FC236}">
              <a16:creationId xmlns:a16="http://schemas.microsoft.com/office/drawing/2014/main" id="{00000000-0008-0000-0000-000023000000}"/>
            </a:ext>
          </a:extLst>
        </xdr:cNvPr>
        <xdr:cNvPicPr>
          <a:picLocks/>
        </xdr:cNvPicPr>
      </xdr:nvPicPr>
      <xdr:blipFill>
        <a:blip xmlns:r="http://schemas.openxmlformats.org/officeDocument/2006/relationships" r:embed="rId1" cstate="print"/>
        <a:stretch>
          <a:fillRect/>
        </a:stretch>
      </xdr:blipFill>
      <xdr:spPr>
        <a:xfrm>
          <a:off x="1647825" y="9182100"/>
          <a:ext cx="0" cy="294543"/>
        </a:xfrm>
        <a:prstGeom prst="rect">
          <a:avLst/>
        </a:prstGeom>
      </xdr:spPr>
    </xdr:pic>
    <xdr:clientData/>
  </xdr:oneCellAnchor>
  <xdr:oneCellAnchor>
    <xdr:from>
      <xdr:col>0</xdr:col>
      <xdr:colOff>1647825</xdr:colOff>
      <xdr:row>52</xdr:row>
      <xdr:rowOff>0</xdr:rowOff>
    </xdr:from>
    <xdr:ext cx="0" cy="294543"/>
    <xdr:pic>
      <xdr:nvPicPr>
        <xdr:cNvPr id="36" name="Picture 35" descr="NewStar.png">
          <a:extLst>
            <a:ext uri="{FF2B5EF4-FFF2-40B4-BE49-F238E27FC236}">
              <a16:creationId xmlns:a16="http://schemas.microsoft.com/office/drawing/2014/main" id="{00000000-0008-0000-0000-000024000000}"/>
            </a:ext>
          </a:extLst>
        </xdr:cNvPr>
        <xdr:cNvPicPr>
          <a:picLocks/>
        </xdr:cNvPicPr>
      </xdr:nvPicPr>
      <xdr:blipFill>
        <a:blip xmlns:r="http://schemas.openxmlformats.org/officeDocument/2006/relationships" r:embed="rId1" cstate="print"/>
        <a:stretch>
          <a:fillRect/>
        </a:stretch>
      </xdr:blipFill>
      <xdr:spPr>
        <a:xfrm>
          <a:off x="1647825" y="9944100"/>
          <a:ext cx="0" cy="294543"/>
        </a:xfrm>
        <a:prstGeom prst="rect">
          <a:avLst/>
        </a:prstGeom>
      </xdr:spPr>
    </xdr:pic>
    <xdr:clientData/>
  </xdr:oneCellAnchor>
  <xdr:oneCellAnchor>
    <xdr:from>
      <xdr:col>0</xdr:col>
      <xdr:colOff>1647825</xdr:colOff>
      <xdr:row>33</xdr:row>
      <xdr:rowOff>9525</xdr:rowOff>
    </xdr:from>
    <xdr:ext cx="0" cy="294543"/>
    <xdr:pic>
      <xdr:nvPicPr>
        <xdr:cNvPr id="37" name="Picture 36" descr="NewStar.png">
          <a:extLst>
            <a:ext uri="{FF2B5EF4-FFF2-40B4-BE49-F238E27FC236}">
              <a16:creationId xmlns:a16="http://schemas.microsoft.com/office/drawing/2014/main" id="{00000000-0008-0000-0000-000025000000}"/>
            </a:ext>
          </a:extLst>
        </xdr:cNvPr>
        <xdr:cNvPicPr>
          <a:picLocks/>
        </xdr:cNvPicPr>
      </xdr:nvPicPr>
      <xdr:blipFill>
        <a:blip xmlns:r="http://schemas.openxmlformats.org/officeDocument/2006/relationships" r:embed="rId1" cstate="print"/>
        <a:stretch>
          <a:fillRect/>
        </a:stretch>
      </xdr:blipFill>
      <xdr:spPr>
        <a:xfrm>
          <a:off x="1647825" y="6334125"/>
          <a:ext cx="0" cy="294543"/>
        </a:xfrm>
        <a:prstGeom prst="rect">
          <a:avLst/>
        </a:prstGeom>
      </xdr:spPr>
    </xdr:pic>
    <xdr:clientData/>
  </xdr:oneCellAnchor>
  <xdr:oneCellAnchor>
    <xdr:from>
      <xdr:col>0</xdr:col>
      <xdr:colOff>1647825</xdr:colOff>
      <xdr:row>52</xdr:row>
      <xdr:rowOff>0</xdr:rowOff>
    </xdr:from>
    <xdr:ext cx="0" cy="294543"/>
    <xdr:pic>
      <xdr:nvPicPr>
        <xdr:cNvPr id="38" name="Picture 37" descr="NewStar.png">
          <a:extLst>
            <a:ext uri="{FF2B5EF4-FFF2-40B4-BE49-F238E27FC236}">
              <a16:creationId xmlns:a16="http://schemas.microsoft.com/office/drawing/2014/main" id="{00000000-0008-0000-0000-000026000000}"/>
            </a:ext>
          </a:extLst>
        </xdr:cNvPr>
        <xdr:cNvPicPr>
          <a:picLocks/>
        </xdr:cNvPicPr>
      </xdr:nvPicPr>
      <xdr:blipFill>
        <a:blip xmlns:r="http://schemas.openxmlformats.org/officeDocument/2006/relationships" r:embed="rId1" cstate="print"/>
        <a:stretch>
          <a:fillRect/>
        </a:stretch>
      </xdr:blipFill>
      <xdr:spPr>
        <a:xfrm>
          <a:off x="1647825" y="9944100"/>
          <a:ext cx="0" cy="294543"/>
        </a:xfrm>
        <a:prstGeom prst="rect">
          <a:avLst/>
        </a:prstGeom>
      </xdr:spPr>
    </xdr:pic>
    <xdr:clientData/>
  </xdr:oneCellAnchor>
  <xdr:oneCellAnchor>
    <xdr:from>
      <xdr:col>0</xdr:col>
      <xdr:colOff>1647825</xdr:colOff>
      <xdr:row>53</xdr:row>
      <xdr:rowOff>0</xdr:rowOff>
    </xdr:from>
    <xdr:ext cx="0" cy="294543"/>
    <xdr:pic>
      <xdr:nvPicPr>
        <xdr:cNvPr id="39" name="Picture 38" descr="NewStar.png">
          <a:extLst>
            <a:ext uri="{FF2B5EF4-FFF2-40B4-BE49-F238E27FC236}">
              <a16:creationId xmlns:a16="http://schemas.microsoft.com/office/drawing/2014/main" id="{00000000-0008-0000-0000-000027000000}"/>
            </a:ext>
          </a:extLst>
        </xdr:cNvPr>
        <xdr:cNvPicPr>
          <a:picLocks/>
        </xdr:cNvPicPr>
      </xdr:nvPicPr>
      <xdr:blipFill>
        <a:blip xmlns:r="http://schemas.openxmlformats.org/officeDocument/2006/relationships" r:embed="rId1" cstate="print"/>
        <a:stretch>
          <a:fillRect/>
        </a:stretch>
      </xdr:blipFill>
      <xdr:spPr>
        <a:xfrm>
          <a:off x="1647825" y="10134600"/>
          <a:ext cx="0" cy="294543"/>
        </a:xfrm>
        <a:prstGeom prst="rect">
          <a:avLst/>
        </a:prstGeom>
      </xdr:spPr>
    </xdr:pic>
    <xdr:clientData/>
  </xdr:oneCellAnchor>
  <xdr:oneCellAnchor>
    <xdr:from>
      <xdr:col>0</xdr:col>
      <xdr:colOff>1647825</xdr:colOff>
      <xdr:row>48</xdr:row>
      <xdr:rowOff>0</xdr:rowOff>
    </xdr:from>
    <xdr:ext cx="0" cy="294543"/>
    <xdr:pic>
      <xdr:nvPicPr>
        <xdr:cNvPr id="40" name="Picture 39" descr="NewStar.png">
          <a:extLst>
            <a:ext uri="{FF2B5EF4-FFF2-40B4-BE49-F238E27FC236}">
              <a16:creationId xmlns:a16="http://schemas.microsoft.com/office/drawing/2014/main" id="{00000000-0008-0000-0000-000028000000}"/>
            </a:ext>
          </a:extLst>
        </xdr:cNvPr>
        <xdr:cNvPicPr>
          <a:picLocks/>
        </xdr:cNvPicPr>
      </xdr:nvPicPr>
      <xdr:blipFill>
        <a:blip xmlns:r="http://schemas.openxmlformats.org/officeDocument/2006/relationships" r:embed="rId1" cstate="print"/>
        <a:stretch>
          <a:fillRect/>
        </a:stretch>
      </xdr:blipFill>
      <xdr:spPr>
        <a:xfrm>
          <a:off x="1647825" y="9182100"/>
          <a:ext cx="0" cy="294543"/>
        </a:xfrm>
        <a:prstGeom prst="rect">
          <a:avLst/>
        </a:prstGeom>
      </xdr:spPr>
    </xdr:pic>
    <xdr:clientData/>
  </xdr:oneCellAnchor>
  <xdr:oneCellAnchor>
    <xdr:from>
      <xdr:col>0</xdr:col>
      <xdr:colOff>1647825</xdr:colOff>
      <xdr:row>50</xdr:row>
      <xdr:rowOff>0</xdr:rowOff>
    </xdr:from>
    <xdr:ext cx="0" cy="294543"/>
    <xdr:pic>
      <xdr:nvPicPr>
        <xdr:cNvPr id="41" name="Picture 40" descr="NewStar.png">
          <a:extLst>
            <a:ext uri="{FF2B5EF4-FFF2-40B4-BE49-F238E27FC236}">
              <a16:creationId xmlns:a16="http://schemas.microsoft.com/office/drawing/2014/main" id="{00000000-0008-0000-0000-000029000000}"/>
            </a:ext>
          </a:extLst>
        </xdr:cNvPr>
        <xdr:cNvPicPr>
          <a:picLocks/>
        </xdr:cNvPicPr>
      </xdr:nvPicPr>
      <xdr:blipFill>
        <a:blip xmlns:r="http://schemas.openxmlformats.org/officeDocument/2006/relationships" r:embed="rId1" cstate="print"/>
        <a:stretch>
          <a:fillRect/>
        </a:stretch>
      </xdr:blipFill>
      <xdr:spPr>
        <a:xfrm>
          <a:off x="1647825" y="9563100"/>
          <a:ext cx="0" cy="294543"/>
        </a:xfrm>
        <a:prstGeom prst="rect">
          <a:avLst/>
        </a:prstGeom>
      </xdr:spPr>
    </xdr:pic>
    <xdr:clientData/>
  </xdr:oneCellAnchor>
  <xdr:oneCellAnchor>
    <xdr:from>
      <xdr:col>0</xdr:col>
      <xdr:colOff>1647825</xdr:colOff>
      <xdr:row>52</xdr:row>
      <xdr:rowOff>0</xdr:rowOff>
    </xdr:from>
    <xdr:ext cx="0" cy="294543"/>
    <xdr:pic>
      <xdr:nvPicPr>
        <xdr:cNvPr id="45" name="Picture 44" descr="NewStar.png">
          <a:extLst>
            <a:ext uri="{FF2B5EF4-FFF2-40B4-BE49-F238E27FC236}">
              <a16:creationId xmlns:a16="http://schemas.microsoft.com/office/drawing/2014/main" id="{00000000-0008-0000-0000-00002D000000}"/>
            </a:ext>
          </a:extLst>
        </xdr:cNvPr>
        <xdr:cNvPicPr>
          <a:picLocks/>
        </xdr:cNvPicPr>
      </xdr:nvPicPr>
      <xdr:blipFill>
        <a:blip xmlns:r="http://schemas.openxmlformats.org/officeDocument/2006/relationships" r:embed="rId1" cstate="print"/>
        <a:stretch>
          <a:fillRect/>
        </a:stretch>
      </xdr:blipFill>
      <xdr:spPr>
        <a:xfrm>
          <a:off x="1647825" y="8068235"/>
          <a:ext cx="0" cy="294543"/>
        </a:xfrm>
        <a:prstGeom prst="rect">
          <a:avLst/>
        </a:prstGeom>
      </xdr:spPr>
    </xdr:pic>
    <xdr:clientData/>
  </xdr:oneCellAnchor>
  <xdr:oneCellAnchor>
    <xdr:from>
      <xdr:col>0</xdr:col>
      <xdr:colOff>1647825</xdr:colOff>
      <xdr:row>33</xdr:row>
      <xdr:rowOff>9525</xdr:rowOff>
    </xdr:from>
    <xdr:ext cx="0" cy="294543"/>
    <xdr:pic>
      <xdr:nvPicPr>
        <xdr:cNvPr id="46" name="Picture 45" descr="NewStar.png">
          <a:extLst>
            <a:ext uri="{FF2B5EF4-FFF2-40B4-BE49-F238E27FC236}">
              <a16:creationId xmlns:a16="http://schemas.microsoft.com/office/drawing/2014/main" id="{00000000-0008-0000-0000-00002E000000}"/>
            </a:ext>
          </a:extLst>
        </xdr:cNvPr>
        <xdr:cNvPicPr>
          <a:picLocks/>
        </xdr:cNvPicPr>
      </xdr:nvPicPr>
      <xdr:blipFill>
        <a:blip xmlns:r="http://schemas.openxmlformats.org/officeDocument/2006/relationships" r:embed="rId1" cstate="print"/>
        <a:stretch>
          <a:fillRect/>
        </a:stretch>
      </xdr:blipFill>
      <xdr:spPr>
        <a:xfrm>
          <a:off x="1647825" y="6334125"/>
          <a:ext cx="0" cy="294543"/>
        </a:xfrm>
        <a:prstGeom prst="rect">
          <a:avLst/>
        </a:prstGeom>
      </xdr:spPr>
    </xdr:pic>
    <xdr:clientData/>
  </xdr:oneCellAnchor>
  <xdr:oneCellAnchor>
    <xdr:from>
      <xdr:col>0</xdr:col>
      <xdr:colOff>1647825</xdr:colOff>
      <xdr:row>33</xdr:row>
      <xdr:rowOff>9525</xdr:rowOff>
    </xdr:from>
    <xdr:ext cx="0" cy="294543"/>
    <xdr:pic>
      <xdr:nvPicPr>
        <xdr:cNvPr id="47" name="Picture 46" descr="NewStar.png">
          <a:extLst>
            <a:ext uri="{FF2B5EF4-FFF2-40B4-BE49-F238E27FC236}">
              <a16:creationId xmlns:a16="http://schemas.microsoft.com/office/drawing/2014/main" id="{00000000-0008-0000-0000-00002F000000}"/>
            </a:ext>
          </a:extLst>
        </xdr:cNvPr>
        <xdr:cNvPicPr>
          <a:picLocks/>
        </xdr:cNvPicPr>
      </xdr:nvPicPr>
      <xdr:blipFill>
        <a:blip xmlns:r="http://schemas.openxmlformats.org/officeDocument/2006/relationships" r:embed="rId1" cstate="print"/>
        <a:stretch>
          <a:fillRect/>
        </a:stretch>
      </xdr:blipFill>
      <xdr:spPr>
        <a:xfrm>
          <a:off x="1647825" y="6334125"/>
          <a:ext cx="0" cy="294543"/>
        </a:xfrm>
        <a:prstGeom prst="rect">
          <a:avLst/>
        </a:prstGeom>
      </xdr:spPr>
    </xdr:pic>
    <xdr:clientData/>
  </xdr:oneCellAnchor>
  <xdr:oneCellAnchor>
    <xdr:from>
      <xdr:col>0</xdr:col>
      <xdr:colOff>1647825</xdr:colOff>
      <xdr:row>35</xdr:row>
      <xdr:rowOff>9525</xdr:rowOff>
    </xdr:from>
    <xdr:ext cx="0" cy="294543"/>
    <xdr:pic>
      <xdr:nvPicPr>
        <xdr:cNvPr id="92" name="Picture 91" descr="NewStar.png">
          <a:extLst>
            <a:ext uri="{FF2B5EF4-FFF2-40B4-BE49-F238E27FC236}">
              <a16:creationId xmlns:a16="http://schemas.microsoft.com/office/drawing/2014/main" id="{00000000-0008-0000-0000-00005C000000}"/>
            </a:ext>
          </a:extLst>
        </xdr:cNvPr>
        <xdr:cNvPicPr>
          <a:picLocks/>
        </xdr:cNvPicPr>
      </xdr:nvPicPr>
      <xdr:blipFill>
        <a:blip xmlns:r="http://schemas.openxmlformats.org/officeDocument/2006/relationships" r:embed="rId1" cstate="print"/>
        <a:stretch>
          <a:fillRect/>
        </a:stretch>
      </xdr:blipFill>
      <xdr:spPr>
        <a:xfrm>
          <a:off x="1647825" y="6724650"/>
          <a:ext cx="0" cy="294543"/>
        </a:xfrm>
        <a:prstGeom prst="rect">
          <a:avLst/>
        </a:prstGeom>
      </xdr:spPr>
    </xdr:pic>
    <xdr:clientData/>
  </xdr:oneCellAnchor>
  <xdr:oneCellAnchor>
    <xdr:from>
      <xdr:col>0</xdr:col>
      <xdr:colOff>1647825</xdr:colOff>
      <xdr:row>37</xdr:row>
      <xdr:rowOff>9525</xdr:rowOff>
    </xdr:from>
    <xdr:ext cx="0" cy="294543"/>
    <xdr:pic>
      <xdr:nvPicPr>
        <xdr:cNvPr id="93" name="Picture 92" descr="NewStar.png">
          <a:extLst>
            <a:ext uri="{FF2B5EF4-FFF2-40B4-BE49-F238E27FC236}">
              <a16:creationId xmlns:a16="http://schemas.microsoft.com/office/drawing/2014/main" id="{00000000-0008-0000-0000-00005D000000}"/>
            </a:ext>
          </a:extLst>
        </xdr:cNvPr>
        <xdr:cNvPicPr>
          <a:picLocks/>
        </xdr:cNvPicPr>
      </xdr:nvPicPr>
      <xdr:blipFill>
        <a:blip xmlns:r="http://schemas.openxmlformats.org/officeDocument/2006/relationships" r:embed="rId1" cstate="print"/>
        <a:stretch>
          <a:fillRect/>
        </a:stretch>
      </xdr:blipFill>
      <xdr:spPr>
        <a:xfrm>
          <a:off x="1647825" y="7105650"/>
          <a:ext cx="0" cy="294543"/>
        </a:xfrm>
        <a:prstGeom prst="rect">
          <a:avLst/>
        </a:prstGeom>
      </xdr:spPr>
    </xdr:pic>
    <xdr:clientData/>
  </xdr:oneCellAnchor>
  <xdr:oneCellAnchor>
    <xdr:from>
      <xdr:col>0</xdr:col>
      <xdr:colOff>1647825</xdr:colOff>
      <xdr:row>43</xdr:row>
      <xdr:rowOff>0</xdr:rowOff>
    </xdr:from>
    <xdr:ext cx="0" cy="294543"/>
    <xdr:pic>
      <xdr:nvPicPr>
        <xdr:cNvPr id="94" name="Picture 93" descr="NewStar.png">
          <a:extLst>
            <a:ext uri="{FF2B5EF4-FFF2-40B4-BE49-F238E27FC236}">
              <a16:creationId xmlns:a16="http://schemas.microsoft.com/office/drawing/2014/main" id="{00000000-0008-0000-0000-00005E000000}"/>
            </a:ext>
          </a:extLst>
        </xdr:cNvPr>
        <xdr:cNvPicPr>
          <a:picLocks/>
        </xdr:cNvPicPr>
      </xdr:nvPicPr>
      <xdr:blipFill>
        <a:blip xmlns:r="http://schemas.openxmlformats.org/officeDocument/2006/relationships" r:embed="rId1" cstate="print"/>
        <a:stretch>
          <a:fillRect/>
        </a:stretch>
      </xdr:blipFill>
      <xdr:spPr>
        <a:xfrm>
          <a:off x="1647825" y="8239125"/>
          <a:ext cx="0" cy="294543"/>
        </a:xfrm>
        <a:prstGeom prst="rect">
          <a:avLst/>
        </a:prstGeom>
      </xdr:spPr>
    </xdr:pic>
    <xdr:clientData/>
  </xdr:oneCellAnchor>
  <xdr:oneCellAnchor>
    <xdr:from>
      <xdr:col>0</xdr:col>
      <xdr:colOff>1647825</xdr:colOff>
      <xdr:row>43</xdr:row>
      <xdr:rowOff>9525</xdr:rowOff>
    </xdr:from>
    <xdr:ext cx="0" cy="294543"/>
    <xdr:pic>
      <xdr:nvPicPr>
        <xdr:cNvPr id="95" name="Picture 94" descr="NewStar.png">
          <a:extLst>
            <a:ext uri="{FF2B5EF4-FFF2-40B4-BE49-F238E27FC236}">
              <a16:creationId xmlns:a16="http://schemas.microsoft.com/office/drawing/2014/main" id="{00000000-0008-0000-0000-00005F000000}"/>
            </a:ext>
          </a:extLst>
        </xdr:cNvPr>
        <xdr:cNvPicPr>
          <a:picLocks/>
        </xdr:cNvPicPr>
      </xdr:nvPicPr>
      <xdr:blipFill>
        <a:blip xmlns:r="http://schemas.openxmlformats.org/officeDocument/2006/relationships" r:embed="rId1" cstate="print"/>
        <a:stretch>
          <a:fillRect/>
        </a:stretch>
      </xdr:blipFill>
      <xdr:spPr>
        <a:xfrm>
          <a:off x="1647825" y="8248650"/>
          <a:ext cx="0" cy="294543"/>
        </a:xfrm>
        <a:prstGeom prst="rect">
          <a:avLst/>
        </a:prstGeom>
      </xdr:spPr>
    </xdr:pic>
    <xdr:clientData/>
  </xdr:oneCellAnchor>
  <xdr:oneCellAnchor>
    <xdr:from>
      <xdr:col>0</xdr:col>
      <xdr:colOff>1647825</xdr:colOff>
      <xdr:row>41</xdr:row>
      <xdr:rowOff>0</xdr:rowOff>
    </xdr:from>
    <xdr:ext cx="0" cy="294543"/>
    <xdr:pic>
      <xdr:nvPicPr>
        <xdr:cNvPr id="96" name="Picture 95" descr="NewStar.png">
          <a:extLst>
            <a:ext uri="{FF2B5EF4-FFF2-40B4-BE49-F238E27FC236}">
              <a16:creationId xmlns:a16="http://schemas.microsoft.com/office/drawing/2014/main" id="{00000000-0008-0000-0000-000060000000}"/>
            </a:ext>
          </a:extLst>
        </xdr:cNvPr>
        <xdr:cNvPicPr>
          <a:picLocks/>
        </xdr:cNvPicPr>
      </xdr:nvPicPr>
      <xdr:blipFill>
        <a:blip xmlns:r="http://schemas.openxmlformats.org/officeDocument/2006/relationships" r:embed="rId1" cstate="print"/>
        <a:stretch>
          <a:fillRect/>
        </a:stretch>
      </xdr:blipFill>
      <xdr:spPr>
        <a:xfrm>
          <a:off x="1647825" y="7858125"/>
          <a:ext cx="0" cy="294543"/>
        </a:xfrm>
        <a:prstGeom prst="rect">
          <a:avLst/>
        </a:prstGeom>
      </xdr:spPr>
    </xdr:pic>
    <xdr:clientData/>
  </xdr:oneCellAnchor>
  <xdr:oneCellAnchor>
    <xdr:from>
      <xdr:col>0</xdr:col>
      <xdr:colOff>1647825</xdr:colOff>
      <xdr:row>41</xdr:row>
      <xdr:rowOff>9525</xdr:rowOff>
    </xdr:from>
    <xdr:ext cx="0" cy="294543"/>
    <xdr:pic>
      <xdr:nvPicPr>
        <xdr:cNvPr id="97" name="Picture 96" descr="NewStar.png">
          <a:extLst>
            <a:ext uri="{FF2B5EF4-FFF2-40B4-BE49-F238E27FC236}">
              <a16:creationId xmlns:a16="http://schemas.microsoft.com/office/drawing/2014/main" id="{00000000-0008-0000-0000-000061000000}"/>
            </a:ext>
          </a:extLst>
        </xdr:cNvPr>
        <xdr:cNvPicPr>
          <a:picLocks/>
        </xdr:cNvPicPr>
      </xdr:nvPicPr>
      <xdr:blipFill>
        <a:blip xmlns:r="http://schemas.openxmlformats.org/officeDocument/2006/relationships" r:embed="rId1" cstate="print"/>
        <a:stretch>
          <a:fillRect/>
        </a:stretch>
      </xdr:blipFill>
      <xdr:spPr>
        <a:xfrm>
          <a:off x="1647825" y="7867650"/>
          <a:ext cx="0" cy="294543"/>
        </a:xfrm>
        <a:prstGeom prst="rect">
          <a:avLst/>
        </a:prstGeom>
      </xdr:spPr>
    </xdr:pic>
    <xdr:clientData/>
  </xdr:oneCellAnchor>
  <xdr:oneCellAnchor>
    <xdr:from>
      <xdr:col>0</xdr:col>
      <xdr:colOff>1647825</xdr:colOff>
      <xdr:row>43</xdr:row>
      <xdr:rowOff>9525</xdr:rowOff>
    </xdr:from>
    <xdr:ext cx="0" cy="294543"/>
    <xdr:pic>
      <xdr:nvPicPr>
        <xdr:cNvPr id="98" name="Picture 97" descr="NewStar.png">
          <a:extLst>
            <a:ext uri="{FF2B5EF4-FFF2-40B4-BE49-F238E27FC236}">
              <a16:creationId xmlns:a16="http://schemas.microsoft.com/office/drawing/2014/main" id="{00000000-0008-0000-0000-000062000000}"/>
            </a:ext>
          </a:extLst>
        </xdr:cNvPr>
        <xdr:cNvPicPr>
          <a:picLocks/>
        </xdr:cNvPicPr>
      </xdr:nvPicPr>
      <xdr:blipFill>
        <a:blip xmlns:r="http://schemas.openxmlformats.org/officeDocument/2006/relationships" r:embed="rId1" cstate="print"/>
        <a:stretch>
          <a:fillRect/>
        </a:stretch>
      </xdr:blipFill>
      <xdr:spPr>
        <a:xfrm>
          <a:off x="1647825" y="8248650"/>
          <a:ext cx="0" cy="294543"/>
        </a:xfrm>
        <a:prstGeom prst="rect">
          <a:avLst/>
        </a:prstGeom>
      </xdr:spPr>
    </xdr:pic>
    <xdr:clientData/>
  </xdr:oneCellAnchor>
  <xdr:oneCellAnchor>
    <xdr:from>
      <xdr:col>0</xdr:col>
      <xdr:colOff>1647825</xdr:colOff>
      <xdr:row>43</xdr:row>
      <xdr:rowOff>9525</xdr:rowOff>
    </xdr:from>
    <xdr:ext cx="0" cy="294543"/>
    <xdr:pic>
      <xdr:nvPicPr>
        <xdr:cNvPr id="99" name="Picture 98" descr="NewStar.png">
          <a:extLst>
            <a:ext uri="{FF2B5EF4-FFF2-40B4-BE49-F238E27FC236}">
              <a16:creationId xmlns:a16="http://schemas.microsoft.com/office/drawing/2014/main" id="{00000000-0008-0000-0000-000063000000}"/>
            </a:ext>
          </a:extLst>
        </xdr:cNvPr>
        <xdr:cNvPicPr>
          <a:picLocks/>
        </xdr:cNvPicPr>
      </xdr:nvPicPr>
      <xdr:blipFill>
        <a:blip xmlns:r="http://schemas.openxmlformats.org/officeDocument/2006/relationships" r:embed="rId1" cstate="print"/>
        <a:stretch>
          <a:fillRect/>
        </a:stretch>
      </xdr:blipFill>
      <xdr:spPr>
        <a:xfrm>
          <a:off x="1647825" y="8248650"/>
          <a:ext cx="0" cy="294543"/>
        </a:xfrm>
        <a:prstGeom prst="rect">
          <a:avLst/>
        </a:prstGeom>
      </xdr:spPr>
    </xdr:pic>
    <xdr:clientData/>
  </xdr:oneCellAnchor>
  <xdr:oneCellAnchor>
    <xdr:from>
      <xdr:col>0</xdr:col>
      <xdr:colOff>1647825</xdr:colOff>
      <xdr:row>48</xdr:row>
      <xdr:rowOff>0</xdr:rowOff>
    </xdr:from>
    <xdr:ext cx="0" cy="294543"/>
    <xdr:pic>
      <xdr:nvPicPr>
        <xdr:cNvPr id="102" name="Picture 101" descr="NewStar.png">
          <a:extLst>
            <a:ext uri="{FF2B5EF4-FFF2-40B4-BE49-F238E27FC236}">
              <a16:creationId xmlns:a16="http://schemas.microsoft.com/office/drawing/2014/main" id="{00000000-0008-0000-0000-000066000000}"/>
            </a:ext>
          </a:extLst>
        </xdr:cNvPr>
        <xdr:cNvPicPr>
          <a:picLocks/>
        </xdr:cNvPicPr>
      </xdr:nvPicPr>
      <xdr:blipFill>
        <a:blip xmlns:r="http://schemas.openxmlformats.org/officeDocument/2006/relationships" r:embed="rId1" cstate="print"/>
        <a:stretch>
          <a:fillRect/>
        </a:stretch>
      </xdr:blipFill>
      <xdr:spPr>
        <a:xfrm>
          <a:off x="1647825" y="9191625"/>
          <a:ext cx="0" cy="294543"/>
        </a:xfrm>
        <a:prstGeom prst="rect">
          <a:avLst/>
        </a:prstGeom>
      </xdr:spPr>
    </xdr:pic>
    <xdr:clientData/>
  </xdr:oneCellAnchor>
  <xdr:oneCellAnchor>
    <xdr:from>
      <xdr:col>0</xdr:col>
      <xdr:colOff>2028825</xdr:colOff>
      <xdr:row>52</xdr:row>
      <xdr:rowOff>0</xdr:rowOff>
    </xdr:from>
    <xdr:ext cx="0" cy="294543"/>
    <xdr:pic>
      <xdr:nvPicPr>
        <xdr:cNvPr id="103" name="Picture 102" descr="NewStar.png">
          <a:extLst>
            <a:ext uri="{FF2B5EF4-FFF2-40B4-BE49-F238E27FC236}">
              <a16:creationId xmlns:a16="http://schemas.microsoft.com/office/drawing/2014/main" id="{00000000-0008-0000-0000-000067000000}"/>
            </a:ext>
          </a:extLst>
        </xdr:cNvPr>
        <xdr:cNvPicPr>
          <a:picLocks/>
        </xdr:cNvPicPr>
      </xdr:nvPicPr>
      <xdr:blipFill>
        <a:blip xmlns:r="http://schemas.openxmlformats.org/officeDocument/2006/relationships" r:embed="rId1" cstate="print"/>
        <a:stretch>
          <a:fillRect/>
        </a:stretch>
      </xdr:blipFill>
      <xdr:spPr>
        <a:xfrm>
          <a:off x="2028825" y="9953625"/>
          <a:ext cx="0" cy="294543"/>
        </a:xfrm>
        <a:prstGeom prst="rect">
          <a:avLst/>
        </a:prstGeom>
      </xdr:spPr>
    </xdr:pic>
    <xdr:clientData/>
  </xdr:oneCellAnchor>
  <xdr:oneCellAnchor>
    <xdr:from>
      <xdr:col>0</xdr:col>
      <xdr:colOff>1647825</xdr:colOff>
      <xdr:row>52</xdr:row>
      <xdr:rowOff>0</xdr:rowOff>
    </xdr:from>
    <xdr:ext cx="0" cy="294543"/>
    <xdr:pic>
      <xdr:nvPicPr>
        <xdr:cNvPr id="104" name="Picture 103" descr="NewStar.png">
          <a:extLst>
            <a:ext uri="{FF2B5EF4-FFF2-40B4-BE49-F238E27FC236}">
              <a16:creationId xmlns:a16="http://schemas.microsoft.com/office/drawing/2014/main" id="{00000000-0008-0000-0000-000068000000}"/>
            </a:ext>
          </a:extLst>
        </xdr:cNvPr>
        <xdr:cNvPicPr>
          <a:picLocks/>
        </xdr:cNvPicPr>
      </xdr:nvPicPr>
      <xdr:blipFill>
        <a:blip xmlns:r="http://schemas.openxmlformats.org/officeDocument/2006/relationships" r:embed="rId1" cstate="print"/>
        <a:stretch>
          <a:fillRect/>
        </a:stretch>
      </xdr:blipFill>
      <xdr:spPr>
        <a:xfrm>
          <a:off x="1647825" y="9953625"/>
          <a:ext cx="0" cy="294543"/>
        </a:xfrm>
        <a:prstGeom prst="rect">
          <a:avLst/>
        </a:prstGeom>
      </xdr:spPr>
    </xdr:pic>
    <xdr:clientData/>
  </xdr:oneCellAnchor>
  <xdr:oneCellAnchor>
    <xdr:from>
      <xdr:col>0</xdr:col>
      <xdr:colOff>1647825</xdr:colOff>
      <xdr:row>48</xdr:row>
      <xdr:rowOff>0</xdr:rowOff>
    </xdr:from>
    <xdr:ext cx="0" cy="294543"/>
    <xdr:pic>
      <xdr:nvPicPr>
        <xdr:cNvPr id="105" name="Picture 104" descr="NewStar.png">
          <a:extLst>
            <a:ext uri="{FF2B5EF4-FFF2-40B4-BE49-F238E27FC236}">
              <a16:creationId xmlns:a16="http://schemas.microsoft.com/office/drawing/2014/main" id="{00000000-0008-0000-0000-000069000000}"/>
            </a:ext>
          </a:extLst>
        </xdr:cNvPr>
        <xdr:cNvPicPr>
          <a:picLocks/>
        </xdr:cNvPicPr>
      </xdr:nvPicPr>
      <xdr:blipFill>
        <a:blip xmlns:r="http://schemas.openxmlformats.org/officeDocument/2006/relationships" r:embed="rId1" cstate="print"/>
        <a:stretch>
          <a:fillRect/>
        </a:stretch>
      </xdr:blipFill>
      <xdr:spPr>
        <a:xfrm>
          <a:off x="1647825" y="9191625"/>
          <a:ext cx="0" cy="294543"/>
        </a:xfrm>
        <a:prstGeom prst="rect">
          <a:avLst/>
        </a:prstGeom>
      </xdr:spPr>
    </xdr:pic>
    <xdr:clientData/>
  </xdr:oneCellAnchor>
  <xdr:oneCellAnchor>
    <xdr:from>
      <xdr:col>0</xdr:col>
      <xdr:colOff>1647825</xdr:colOff>
      <xdr:row>37</xdr:row>
      <xdr:rowOff>9525</xdr:rowOff>
    </xdr:from>
    <xdr:ext cx="0" cy="294543"/>
    <xdr:pic>
      <xdr:nvPicPr>
        <xdr:cNvPr id="111" name="Picture 110" descr="NewStar.png">
          <a:extLst>
            <a:ext uri="{FF2B5EF4-FFF2-40B4-BE49-F238E27FC236}">
              <a16:creationId xmlns:a16="http://schemas.microsoft.com/office/drawing/2014/main" id="{00000000-0008-0000-0000-00006F000000}"/>
            </a:ext>
          </a:extLst>
        </xdr:cNvPr>
        <xdr:cNvPicPr>
          <a:picLocks/>
        </xdr:cNvPicPr>
      </xdr:nvPicPr>
      <xdr:blipFill>
        <a:blip xmlns:r="http://schemas.openxmlformats.org/officeDocument/2006/relationships" r:embed="rId1" cstate="print"/>
        <a:stretch>
          <a:fillRect/>
        </a:stretch>
      </xdr:blipFill>
      <xdr:spPr>
        <a:xfrm>
          <a:off x="1647825" y="7105650"/>
          <a:ext cx="0" cy="294543"/>
        </a:xfrm>
        <a:prstGeom prst="rect">
          <a:avLst/>
        </a:prstGeom>
      </xdr:spPr>
    </xdr:pic>
    <xdr:clientData/>
  </xdr:oneCellAnchor>
  <xdr:oneCellAnchor>
    <xdr:from>
      <xdr:col>0</xdr:col>
      <xdr:colOff>1647825</xdr:colOff>
      <xdr:row>43</xdr:row>
      <xdr:rowOff>0</xdr:rowOff>
    </xdr:from>
    <xdr:ext cx="0" cy="294543"/>
    <xdr:pic>
      <xdr:nvPicPr>
        <xdr:cNvPr id="112" name="Picture 111" descr="NewStar.png">
          <a:extLst>
            <a:ext uri="{FF2B5EF4-FFF2-40B4-BE49-F238E27FC236}">
              <a16:creationId xmlns:a16="http://schemas.microsoft.com/office/drawing/2014/main" id="{00000000-0008-0000-0000-000070000000}"/>
            </a:ext>
          </a:extLst>
        </xdr:cNvPr>
        <xdr:cNvPicPr>
          <a:picLocks/>
        </xdr:cNvPicPr>
      </xdr:nvPicPr>
      <xdr:blipFill>
        <a:blip xmlns:r="http://schemas.openxmlformats.org/officeDocument/2006/relationships" r:embed="rId1" cstate="print"/>
        <a:stretch>
          <a:fillRect/>
        </a:stretch>
      </xdr:blipFill>
      <xdr:spPr>
        <a:xfrm>
          <a:off x="1647825" y="8239125"/>
          <a:ext cx="0" cy="294543"/>
        </a:xfrm>
        <a:prstGeom prst="rect">
          <a:avLst/>
        </a:prstGeom>
      </xdr:spPr>
    </xdr:pic>
    <xdr:clientData/>
  </xdr:oneCellAnchor>
  <xdr:oneCellAnchor>
    <xdr:from>
      <xdr:col>0</xdr:col>
      <xdr:colOff>1647825</xdr:colOff>
      <xdr:row>43</xdr:row>
      <xdr:rowOff>9525</xdr:rowOff>
    </xdr:from>
    <xdr:ext cx="0" cy="294543"/>
    <xdr:pic>
      <xdr:nvPicPr>
        <xdr:cNvPr id="113" name="Picture 112" descr="NewStar.png">
          <a:extLst>
            <a:ext uri="{FF2B5EF4-FFF2-40B4-BE49-F238E27FC236}">
              <a16:creationId xmlns:a16="http://schemas.microsoft.com/office/drawing/2014/main" id="{00000000-0008-0000-0000-000071000000}"/>
            </a:ext>
          </a:extLst>
        </xdr:cNvPr>
        <xdr:cNvPicPr>
          <a:picLocks/>
        </xdr:cNvPicPr>
      </xdr:nvPicPr>
      <xdr:blipFill>
        <a:blip xmlns:r="http://schemas.openxmlformats.org/officeDocument/2006/relationships" r:embed="rId1" cstate="print"/>
        <a:stretch>
          <a:fillRect/>
        </a:stretch>
      </xdr:blipFill>
      <xdr:spPr>
        <a:xfrm>
          <a:off x="1647825" y="8248650"/>
          <a:ext cx="0" cy="294543"/>
        </a:xfrm>
        <a:prstGeom prst="rect">
          <a:avLst/>
        </a:prstGeom>
      </xdr:spPr>
    </xdr:pic>
    <xdr:clientData/>
  </xdr:oneCellAnchor>
  <xdr:oneCellAnchor>
    <xdr:from>
      <xdr:col>0</xdr:col>
      <xdr:colOff>1647825</xdr:colOff>
      <xdr:row>43</xdr:row>
      <xdr:rowOff>9525</xdr:rowOff>
    </xdr:from>
    <xdr:ext cx="0" cy="294543"/>
    <xdr:pic>
      <xdr:nvPicPr>
        <xdr:cNvPr id="116" name="Picture 115" descr="NewStar.png">
          <a:extLst>
            <a:ext uri="{FF2B5EF4-FFF2-40B4-BE49-F238E27FC236}">
              <a16:creationId xmlns:a16="http://schemas.microsoft.com/office/drawing/2014/main" id="{00000000-0008-0000-0000-000074000000}"/>
            </a:ext>
          </a:extLst>
        </xdr:cNvPr>
        <xdr:cNvPicPr>
          <a:picLocks/>
        </xdr:cNvPicPr>
      </xdr:nvPicPr>
      <xdr:blipFill>
        <a:blip xmlns:r="http://schemas.openxmlformats.org/officeDocument/2006/relationships" r:embed="rId1" cstate="print"/>
        <a:stretch>
          <a:fillRect/>
        </a:stretch>
      </xdr:blipFill>
      <xdr:spPr>
        <a:xfrm>
          <a:off x="1647825" y="8248650"/>
          <a:ext cx="0" cy="294543"/>
        </a:xfrm>
        <a:prstGeom prst="rect">
          <a:avLst/>
        </a:prstGeom>
      </xdr:spPr>
    </xdr:pic>
    <xdr:clientData/>
  </xdr:oneCellAnchor>
  <xdr:oneCellAnchor>
    <xdr:from>
      <xdr:col>0</xdr:col>
      <xdr:colOff>1647825</xdr:colOff>
      <xdr:row>43</xdr:row>
      <xdr:rowOff>9525</xdr:rowOff>
    </xdr:from>
    <xdr:ext cx="0" cy="294543"/>
    <xdr:pic>
      <xdr:nvPicPr>
        <xdr:cNvPr id="117" name="Picture 116" descr="NewStar.png">
          <a:extLst>
            <a:ext uri="{FF2B5EF4-FFF2-40B4-BE49-F238E27FC236}">
              <a16:creationId xmlns:a16="http://schemas.microsoft.com/office/drawing/2014/main" id="{00000000-0008-0000-0000-000075000000}"/>
            </a:ext>
          </a:extLst>
        </xdr:cNvPr>
        <xdr:cNvPicPr>
          <a:picLocks/>
        </xdr:cNvPicPr>
      </xdr:nvPicPr>
      <xdr:blipFill>
        <a:blip xmlns:r="http://schemas.openxmlformats.org/officeDocument/2006/relationships" r:embed="rId1" cstate="print"/>
        <a:stretch>
          <a:fillRect/>
        </a:stretch>
      </xdr:blipFill>
      <xdr:spPr>
        <a:xfrm>
          <a:off x="1647825" y="8248650"/>
          <a:ext cx="0" cy="294543"/>
        </a:xfrm>
        <a:prstGeom prst="rect">
          <a:avLst/>
        </a:prstGeom>
      </xdr:spPr>
    </xdr:pic>
    <xdr:clientData/>
  </xdr:oneCellAnchor>
  <xdr:oneCellAnchor>
    <xdr:from>
      <xdr:col>0</xdr:col>
      <xdr:colOff>1647825</xdr:colOff>
      <xdr:row>48</xdr:row>
      <xdr:rowOff>0</xdr:rowOff>
    </xdr:from>
    <xdr:ext cx="0" cy="294543"/>
    <xdr:pic>
      <xdr:nvPicPr>
        <xdr:cNvPr id="120" name="Picture 119" descr="NewStar.png">
          <a:extLst>
            <a:ext uri="{FF2B5EF4-FFF2-40B4-BE49-F238E27FC236}">
              <a16:creationId xmlns:a16="http://schemas.microsoft.com/office/drawing/2014/main" id="{00000000-0008-0000-0000-000078000000}"/>
            </a:ext>
          </a:extLst>
        </xdr:cNvPr>
        <xdr:cNvPicPr>
          <a:picLocks/>
        </xdr:cNvPicPr>
      </xdr:nvPicPr>
      <xdr:blipFill>
        <a:blip xmlns:r="http://schemas.openxmlformats.org/officeDocument/2006/relationships" r:embed="rId1" cstate="print"/>
        <a:stretch>
          <a:fillRect/>
        </a:stretch>
      </xdr:blipFill>
      <xdr:spPr>
        <a:xfrm>
          <a:off x="1647825" y="9191625"/>
          <a:ext cx="0" cy="294543"/>
        </a:xfrm>
        <a:prstGeom prst="rect">
          <a:avLst/>
        </a:prstGeom>
      </xdr:spPr>
    </xdr:pic>
    <xdr:clientData/>
  </xdr:oneCellAnchor>
  <xdr:oneCellAnchor>
    <xdr:from>
      <xdr:col>0</xdr:col>
      <xdr:colOff>1647825</xdr:colOff>
      <xdr:row>52</xdr:row>
      <xdr:rowOff>0</xdr:rowOff>
    </xdr:from>
    <xdr:ext cx="0" cy="294543"/>
    <xdr:pic>
      <xdr:nvPicPr>
        <xdr:cNvPr id="121" name="Picture 120" descr="NewStar.png">
          <a:extLst>
            <a:ext uri="{FF2B5EF4-FFF2-40B4-BE49-F238E27FC236}">
              <a16:creationId xmlns:a16="http://schemas.microsoft.com/office/drawing/2014/main" id="{00000000-0008-0000-0000-000079000000}"/>
            </a:ext>
          </a:extLst>
        </xdr:cNvPr>
        <xdr:cNvPicPr>
          <a:picLocks/>
        </xdr:cNvPicPr>
      </xdr:nvPicPr>
      <xdr:blipFill>
        <a:blip xmlns:r="http://schemas.openxmlformats.org/officeDocument/2006/relationships" r:embed="rId1" cstate="print"/>
        <a:stretch>
          <a:fillRect/>
        </a:stretch>
      </xdr:blipFill>
      <xdr:spPr>
        <a:xfrm>
          <a:off x="1647825" y="9953625"/>
          <a:ext cx="0" cy="294543"/>
        </a:xfrm>
        <a:prstGeom prst="rect">
          <a:avLst/>
        </a:prstGeom>
      </xdr:spPr>
    </xdr:pic>
    <xdr:clientData/>
  </xdr:oneCellAnchor>
  <xdr:oneCellAnchor>
    <xdr:from>
      <xdr:col>0</xdr:col>
      <xdr:colOff>1647825</xdr:colOff>
      <xdr:row>52</xdr:row>
      <xdr:rowOff>0</xdr:rowOff>
    </xdr:from>
    <xdr:ext cx="0" cy="294543"/>
    <xdr:pic>
      <xdr:nvPicPr>
        <xdr:cNvPr id="122" name="Picture 121" descr="NewStar.png">
          <a:extLst>
            <a:ext uri="{FF2B5EF4-FFF2-40B4-BE49-F238E27FC236}">
              <a16:creationId xmlns:a16="http://schemas.microsoft.com/office/drawing/2014/main" id="{00000000-0008-0000-0000-00007A000000}"/>
            </a:ext>
          </a:extLst>
        </xdr:cNvPr>
        <xdr:cNvPicPr>
          <a:picLocks/>
        </xdr:cNvPicPr>
      </xdr:nvPicPr>
      <xdr:blipFill>
        <a:blip xmlns:r="http://schemas.openxmlformats.org/officeDocument/2006/relationships" r:embed="rId1" cstate="print"/>
        <a:stretch>
          <a:fillRect/>
        </a:stretch>
      </xdr:blipFill>
      <xdr:spPr>
        <a:xfrm>
          <a:off x="1647825" y="9953625"/>
          <a:ext cx="0" cy="294543"/>
        </a:xfrm>
        <a:prstGeom prst="rect">
          <a:avLst/>
        </a:prstGeom>
      </xdr:spPr>
    </xdr:pic>
    <xdr:clientData/>
  </xdr:oneCellAnchor>
  <xdr:oneCellAnchor>
    <xdr:from>
      <xdr:col>0</xdr:col>
      <xdr:colOff>1647825</xdr:colOff>
      <xdr:row>48</xdr:row>
      <xdr:rowOff>0</xdr:rowOff>
    </xdr:from>
    <xdr:ext cx="0" cy="294543"/>
    <xdr:pic>
      <xdr:nvPicPr>
        <xdr:cNvPr id="123" name="Picture 122" descr="NewStar.png">
          <a:extLst>
            <a:ext uri="{FF2B5EF4-FFF2-40B4-BE49-F238E27FC236}">
              <a16:creationId xmlns:a16="http://schemas.microsoft.com/office/drawing/2014/main" id="{00000000-0008-0000-0000-00007B000000}"/>
            </a:ext>
          </a:extLst>
        </xdr:cNvPr>
        <xdr:cNvPicPr>
          <a:picLocks/>
        </xdr:cNvPicPr>
      </xdr:nvPicPr>
      <xdr:blipFill>
        <a:blip xmlns:r="http://schemas.openxmlformats.org/officeDocument/2006/relationships" r:embed="rId1" cstate="print"/>
        <a:stretch>
          <a:fillRect/>
        </a:stretch>
      </xdr:blipFill>
      <xdr:spPr>
        <a:xfrm>
          <a:off x="1647825" y="9191625"/>
          <a:ext cx="0" cy="294543"/>
        </a:xfrm>
        <a:prstGeom prst="rect">
          <a:avLst/>
        </a:prstGeom>
      </xdr:spPr>
    </xdr:pic>
    <xdr:clientData/>
  </xdr:oneCellAnchor>
  <xdr:oneCellAnchor>
    <xdr:from>
      <xdr:col>0</xdr:col>
      <xdr:colOff>1647825</xdr:colOff>
      <xdr:row>50</xdr:row>
      <xdr:rowOff>0</xdr:rowOff>
    </xdr:from>
    <xdr:ext cx="0" cy="294543"/>
    <xdr:pic>
      <xdr:nvPicPr>
        <xdr:cNvPr id="124" name="Picture 123" descr="NewStar.png">
          <a:extLst>
            <a:ext uri="{FF2B5EF4-FFF2-40B4-BE49-F238E27FC236}">
              <a16:creationId xmlns:a16="http://schemas.microsoft.com/office/drawing/2014/main" id="{00000000-0008-0000-0000-00007C000000}"/>
            </a:ext>
          </a:extLst>
        </xdr:cNvPr>
        <xdr:cNvPicPr>
          <a:picLocks/>
        </xdr:cNvPicPr>
      </xdr:nvPicPr>
      <xdr:blipFill>
        <a:blip xmlns:r="http://schemas.openxmlformats.org/officeDocument/2006/relationships" r:embed="rId1" cstate="print"/>
        <a:stretch>
          <a:fillRect/>
        </a:stretch>
      </xdr:blipFill>
      <xdr:spPr>
        <a:xfrm>
          <a:off x="1647825" y="9572625"/>
          <a:ext cx="0" cy="294543"/>
        </a:xfrm>
        <a:prstGeom prst="rect">
          <a:avLst/>
        </a:prstGeom>
      </xdr:spPr>
    </xdr:pic>
    <xdr:clientData/>
  </xdr:oneCellAnchor>
  <xdr:oneCellAnchor>
    <xdr:from>
      <xdr:col>0</xdr:col>
      <xdr:colOff>1647825</xdr:colOff>
      <xdr:row>52</xdr:row>
      <xdr:rowOff>0</xdr:rowOff>
    </xdr:from>
    <xdr:ext cx="0" cy="294543"/>
    <xdr:pic>
      <xdr:nvPicPr>
        <xdr:cNvPr id="128" name="Picture 127" descr="NewStar.png">
          <a:extLst>
            <a:ext uri="{FF2B5EF4-FFF2-40B4-BE49-F238E27FC236}">
              <a16:creationId xmlns:a16="http://schemas.microsoft.com/office/drawing/2014/main" id="{00000000-0008-0000-0000-000080000000}"/>
            </a:ext>
          </a:extLst>
        </xdr:cNvPr>
        <xdr:cNvPicPr>
          <a:picLocks/>
        </xdr:cNvPicPr>
      </xdr:nvPicPr>
      <xdr:blipFill>
        <a:blip xmlns:r="http://schemas.openxmlformats.org/officeDocument/2006/relationships" r:embed="rId1" cstate="print"/>
        <a:stretch>
          <a:fillRect/>
        </a:stretch>
      </xdr:blipFill>
      <xdr:spPr>
        <a:xfrm>
          <a:off x="1647825" y="9953625"/>
          <a:ext cx="0" cy="294543"/>
        </a:xfrm>
        <a:prstGeom prst="rect">
          <a:avLst/>
        </a:prstGeom>
      </xdr:spPr>
    </xdr:pic>
    <xdr:clientData/>
  </xdr:oneCellAnchor>
  <xdr:oneCellAnchor>
    <xdr:from>
      <xdr:col>0</xdr:col>
      <xdr:colOff>1647825</xdr:colOff>
      <xdr:row>52</xdr:row>
      <xdr:rowOff>0</xdr:rowOff>
    </xdr:from>
    <xdr:ext cx="0" cy="294543"/>
    <xdr:pic>
      <xdr:nvPicPr>
        <xdr:cNvPr id="129" name="Picture 128" descr="NewStar.png">
          <a:extLst>
            <a:ext uri="{FF2B5EF4-FFF2-40B4-BE49-F238E27FC236}">
              <a16:creationId xmlns:a16="http://schemas.microsoft.com/office/drawing/2014/main" id="{00000000-0008-0000-0000-000081000000}"/>
            </a:ext>
          </a:extLst>
        </xdr:cNvPr>
        <xdr:cNvPicPr>
          <a:picLocks/>
        </xdr:cNvPicPr>
      </xdr:nvPicPr>
      <xdr:blipFill>
        <a:blip xmlns:r="http://schemas.openxmlformats.org/officeDocument/2006/relationships" r:embed="rId1" cstate="print"/>
        <a:stretch>
          <a:fillRect/>
        </a:stretch>
      </xdr:blipFill>
      <xdr:spPr>
        <a:xfrm>
          <a:off x="1647825" y="9953625"/>
          <a:ext cx="0" cy="294543"/>
        </a:xfrm>
        <a:prstGeom prst="rect">
          <a:avLst/>
        </a:prstGeom>
      </xdr:spPr>
    </xdr:pic>
    <xdr:clientData/>
  </xdr:oneCellAnchor>
  <xdr:oneCellAnchor>
    <xdr:from>
      <xdr:col>0</xdr:col>
      <xdr:colOff>1647825</xdr:colOff>
      <xdr:row>52</xdr:row>
      <xdr:rowOff>0</xdr:rowOff>
    </xdr:from>
    <xdr:ext cx="0" cy="294543"/>
    <xdr:pic>
      <xdr:nvPicPr>
        <xdr:cNvPr id="130" name="Picture 129" descr="NewStar.png">
          <a:extLst>
            <a:ext uri="{FF2B5EF4-FFF2-40B4-BE49-F238E27FC236}">
              <a16:creationId xmlns:a16="http://schemas.microsoft.com/office/drawing/2014/main" id="{00000000-0008-0000-0000-000082000000}"/>
            </a:ext>
          </a:extLst>
        </xdr:cNvPr>
        <xdr:cNvPicPr>
          <a:picLocks/>
        </xdr:cNvPicPr>
      </xdr:nvPicPr>
      <xdr:blipFill>
        <a:blip xmlns:r="http://schemas.openxmlformats.org/officeDocument/2006/relationships" r:embed="rId1" cstate="print"/>
        <a:stretch>
          <a:fillRect/>
        </a:stretch>
      </xdr:blipFill>
      <xdr:spPr>
        <a:xfrm>
          <a:off x="1647825" y="9953625"/>
          <a:ext cx="0" cy="294543"/>
        </a:xfrm>
        <a:prstGeom prst="rect">
          <a:avLst/>
        </a:prstGeom>
      </xdr:spPr>
    </xdr:pic>
    <xdr:clientData/>
  </xdr:oneCellAnchor>
  <xdr:oneCellAnchor>
    <xdr:from>
      <xdr:col>0</xdr:col>
      <xdr:colOff>1647825</xdr:colOff>
      <xdr:row>52</xdr:row>
      <xdr:rowOff>0</xdr:rowOff>
    </xdr:from>
    <xdr:ext cx="0" cy="294543"/>
    <xdr:pic>
      <xdr:nvPicPr>
        <xdr:cNvPr id="131" name="Picture 130" descr="NewStar.png">
          <a:extLst>
            <a:ext uri="{FF2B5EF4-FFF2-40B4-BE49-F238E27FC236}">
              <a16:creationId xmlns:a16="http://schemas.microsoft.com/office/drawing/2014/main" id="{00000000-0008-0000-0000-000083000000}"/>
            </a:ext>
          </a:extLst>
        </xdr:cNvPr>
        <xdr:cNvPicPr>
          <a:picLocks/>
        </xdr:cNvPicPr>
      </xdr:nvPicPr>
      <xdr:blipFill>
        <a:blip xmlns:r="http://schemas.openxmlformats.org/officeDocument/2006/relationships" r:embed="rId1" cstate="print"/>
        <a:stretch>
          <a:fillRect/>
        </a:stretch>
      </xdr:blipFill>
      <xdr:spPr>
        <a:xfrm>
          <a:off x="1647825" y="9953625"/>
          <a:ext cx="0" cy="294543"/>
        </a:xfrm>
        <a:prstGeom prst="rect">
          <a:avLst/>
        </a:prstGeom>
      </xdr:spPr>
    </xdr:pic>
    <xdr:clientData/>
  </xdr:oneCellAnchor>
  <xdr:oneCellAnchor>
    <xdr:from>
      <xdr:col>6</xdr:col>
      <xdr:colOff>350043</xdr:colOff>
      <xdr:row>48</xdr:row>
      <xdr:rowOff>83344</xdr:rowOff>
    </xdr:from>
    <xdr:ext cx="0" cy="294543"/>
    <xdr:pic>
      <xdr:nvPicPr>
        <xdr:cNvPr id="68" name="Picture 67" descr="NewStar.png">
          <a:extLst>
            <a:ext uri="{FF2B5EF4-FFF2-40B4-BE49-F238E27FC236}">
              <a16:creationId xmlns:a16="http://schemas.microsoft.com/office/drawing/2014/main" id="{00000000-0008-0000-0000-000044000000}"/>
            </a:ext>
          </a:extLst>
        </xdr:cNvPr>
        <xdr:cNvPicPr>
          <a:picLocks/>
        </xdr:cNvPicPr>
      </xdr:nvPicPr>
      <xdr:blipFill>
        <a:blip xmlns:r="http://schemas.openxmlformats.org/officeDocument/2006/relationships" r:embed="rId1" cstate="print"/>
        <a:stretch>
          <a:fillRect/>
        </a:stretch>
      </xdr:blipFill>
      <xdr:spPr>
        <a:xfrm>
          <a:off x="6607968" y="9313069"/>
          <a:ext cx="0" cy="294543"/>
        </a:xfrm>
        <a:prstGeom prst="rect">
          <a:avLst/>
        </a:prstGeom>
      </xdr:spPr>
    </xdr:pic>
    <xdr:clientData/>
  </xdr:oneCellAnchor>
  <xdr:oneCellAnchor>
    <xdr:from>
      <xdr:col>6</xdr:col>
      <xdr:colOff>350043</xdr:colOff>
      <xdr:row>48</xdr:row>
      <xdr:rowOff>83344</xdr:rowOff>
    </xdr:from>
    <xdr:ext cx="0" cy="294543"/>
    <xdr:pic>
      <xdr:nvPicPr>
        <xdr:cNvPr id="69" name="Picture 68" descr="NewStar.png">
          <a:extLst>
            <a:ext uri="{FF2B5EF4-FFF2-40B4-BE49-F238E27FC236}">
              <a16:creationId xmlns:a16="http://schemas.microsoft.com/office/drawing/2014/main" id="{00000000-0008-0000-0000-000045000000}"/>
            </a:ext>
          </a:extLst>
        </xdr:cNvPr>
        <xdr:cNvPicPr>
          <a:picLocks/>
        </xdr:cNvPicPr>
      </xdr:nvPicPr>
      <xdr:blipFill>
        <a:blip xmlns:r="http://schemas.openxmlformats.org/officeDocument/2006/relationships" r:embed="rId1" cstate="print"/>
        <a:stretch>
          <a:fillRect/>
        </a:stretch>
      </xdr:blipFill>
      <xdr:spPr>
        <a:xfrm>
          <a:off x="6607968" y="9313069"/>
          <a:ext cx="0" cy="294543"/>
        </a:xfrm>
        <a:prstGeom prst="rect">
          <a:avLst/>
        </a:prstGeom>
      </xdr:spPr>
    </xdr:pic>
    <xdr:clientData/>
  </xdr:oneCellAnchor>
  <xdr:oneCellAnchor>
    <xdr:from>
      <xdr:col>6</xdr:col>
      <xdr:colOff>350043</xdr:colOff>
      <xdr:row>48</xdr:row>
      <xdr:rowOff>83344</xdr:rowOff>
    </xdr:from>
    <xdr:ext cx="0" cy="294543"/>
    <xdr:pic>
      <xdr:nvPicPr>
        <xdr:cNvPr id="70" name="Picture 69" descr="NewStar.png">
          <a:extLst>
            <a:ext uri="{FF2B5EF4-FFF2-40B4-BE49-F238E27FC236}">
              <a16:creationId xmlns:a16="http://schemas.microsoft.com/office/drawing/2014/main" id="{00000000-0008-0000-0000-000046000000}"/>
            </a:ext>
          </a:extLst>
        </xdr:cNvPr>
        <xdr:cNvPicPr>
          <a:picLocks/>
        </xdr:cNvPicPr>
      </xdr:nvPicPr>
      <xdr:blipFill>
        <a:blip xmlns:r="http://schemas.openxmlformats.org/officeDocument/2006/relationships" r:embed="rId1" cstate="print"/>
        <a:stretch>
          <a:fillRect/>
        </a:stretch>
      </xdr:blipFill>
      <xdr:spPr>
        <a:xfrm>
          <a:off x="6607968" y="9313069"/>
          <a:ext cx="0" cy="294543"/>
        </a:xfrm>
        <a:prstGeom prst="rect">
          <a:avLst/>
        </a:prstGeom>
      </xdr:spPr>
    </xdr:pic>
    <xdr:clientData/>
  </xdr:oneCellAnchor>
  <xdr:oneCellAnchor>
    <xdr:from>
      <xdr:col>6</xdr:col>
      <xdr:colOff>350043</xdr:colOff>
      <xdr:row>48</xdr:row>
      <xdr:rowOff>83344</xdr:rowOff>
    </xdr:from>
    <xdr:ext cx="0" cy="294543"/>
    <xdr:pic>
      <xdr:nvPicPr>
        <xdr:cNvPr id="71" name="Picture 70" descr="NewStar.png">
          <a:extLst>
            <a:ext uri="{FF2B5EF4-FFF2-40B4-BE49-F238E27FC236}">
              <a16:creationId xmlns:a16="http://schemas.microsoft.com/office/drawing/2014/main" id="{00000000-0008-0000-0000-000047000000}"/>
            </a:ext>
          </a:extLst>
        </xdr:cNvPr>
        <xdr:cNvPicPr>
          <a:picLocks/>
        </xdr:cNvPicPr>
      </xdr:nvPicPr>
      <xdr:blipFill>
        <a:blip xmlns:r="http://schemas.openxmlformats.org/officeDocument/2006/relationships" r:embed="rId1" cstate="print"/>
        <a:stretch>
          <a:fillRect/>
        </a:stretch>
      </xdr:blipFill>
      <xdr:spPr>
        <a:xfrm>
          <a:off x="6607968" y="9313069"/>
          <a:ext cx="0" cy="294543"/>
        </a:xfrm>
        <a:prstGeom prst="rect">
          <a:avLst/>
        </a:prstGeom>
      </xdr:spPr>
    </xdr:pic>
    <xdr:clientData/>
  </xdr:oneCellAnchor>
  <xdr:oneCellAnchor>
    <xdr:from>
      <xdr:col>0</xdr:col>
      <xdr:colOff>2028825</xdr:colOff>
      <xdr:row>52</xdr:row>
      <xdr:rowOff>0</xdr:rowOff>
    </xdr:from>
    <xdr:ext cx="0" cy="294543"/>
    <xdr:pic>
      <xdr:nvPicPr>
        <xdr:cNvPr id="75" name="Picture 74" descr="NewStar.png">
          <a:extLst>
            <a:ext uri="{FF2B5EF4-FFF2-40B4-BE49-F238E27FC236}">
              <a16:creationId xmlns:a16="http://schemas.microsoft.com/office/drawing/2014/main" id="{00000000-0008-0000-0000-00004B000000}"/>
            </a:ext>
          </a:extLst>
        </xdr:cNvPr>
        <xdr:cNvPicPr>
          <a:picLocks/>
        </xdr:cNvPicPr>
      </xdr:nvPicPr>
      <xdr:blipFill>
        <a:blip xmlns:r="http://schemas.openxmlformats.org/officeDocument/2006/relationships" r:embed="rId1" cstate="print"/>
        <a:stretch>
          <a:fillRect/>
        </a:stretch>
      </xdr:blipFill>
      <xdr:spPr>
        <a:xfrm>
          <a:off x="1790700" y="10001250"/>
          <a:ext cx="0" cy="294543"/>
        </a:xfrm>
        <a:prstGeom prst="rect">
          <a:avLst/>
        </a:prstGeom>
      </xdr:spPr>
    </xdr:pic>
    <xdr:clientData/>
  </xdr:oneCellAnchor>
  <xdr:oneCellAnchor>
    <xdr:from>
      <xdr:col>6</xdr:col>
      <xdr:colOff>350043</xdr:colOff>
      <xdr:row>48</xdr:row>
      <xdr:rowOff>83344</xdr:rowOff>
    </xdr:from>
    <xdr:ext cx="0" cy="294543"/>
    <xdr:pic>
      <xdr:nvPicPr>
        <xdr:cNvPr id="76" name="Picture 75" descr="NewStar.png">
          <a:extLst>
            <a:ext uri="{FF2B5EF4-FFF2-40B4-BE49-F238E27FC236}">
              <a16:creationId xmlns:a16="http://schemas.microsoft.com/office/drawing/2014/main" id="{00000000-0008-0000-0000-00004C000000}"/>
            </a:ext>
          </a:extLst>
        </xdr:cNvPr>
        <xdr:cNvPicPr>
          <a:picLocks/>
        </xdr:cNvPicPr>
      </xdr:nvPicPr>
      <xdr:blipFill>
        <a:blip xmlns:r="http://schemas.openxmlformats.org/officeDocument/2006/relationships" r:embed="rId1" cstate="print"/>
        <a:stretch>
          <a:fillRect/>
        </a:stretch>
      </xdr:blipFill>
      <xdr:spPr>
        <a:xfrm>
          <a:off x="5455443" y="9322594"/>
          <a:ext cx="0" cy="294543"/>
        </a:xfrm>
        <a:prstGeom prst="rect">
          <a:avLst/>
        </a:prstGeom>
      </xdr:spPr>
    </xdr:pic>
    <xdr:clientData/>
  </xdr:oneCellAnchor>
  <xdr:oneCellAnchor>
    <xdr:from>
      <xdr:col>5</xdr:col>
      <xdr:colOff>350043</xdr:colOff>
      <xdr:row>48</xdr:row>
      <xdr:rowOff>83344</xdr:rowOff>
    </xdr:from>
    <xdr:ext cx="0" cy="294543"/>
    <xdr:pic>
      <xdr:nvPicPr>
        <xdr:cNvPr id="77" name="Picture 76" descr="NewStar.png">
          <a:extLst>
            <a:ext uri="{FF2B5EF4-FFF2-40B4-BE49-F238E27FC236}">
              <a16:creationId xmlns:a16="http://schemas.microsoft.com/office/drawing/2014/main" id="{00000000-0008-0000-0000-00004D000000}"/>
            </a:ext>
          </a:extLst>
        </xdr:cNvPr>
        <xdr:cNvPicPr>
          <a:picLocks/>
        </xdr:cNvPicPr>
      </xdr:nvPicPr>
      <xdr:blipFill>
        <a:blip xmlns:r="http://schemas.openxmlformats.org/officeDocument/2006/relationships" r:embed="rId1" cstate="print"/>
        <a:stretch>
          <a:fillRect/>
        </a:stretch>
      </xdr:blipFill>
      <xdr:spPr>
        <a:xfrm>
          <a:off x="4769643" y="9322594"/>
          <a:ext cx="0" cy="294543"/>
        </a:xfrm>
        <a:prstGeom prst="rect">
          <a:avLst/>
        </a:prstGeom>
      </xdr:spPr>
    </xdr:pic>
    <xdr:clientData/>
  </xdr:oneCellAnchor>
  <xdr:oneCellAnchor>
    <xdr:from>
      <xdr:col>6</xdr:col>
      <xdr:colOff>350043</xdr:colOff>
      <xdr:row>48</xdr:row>
      <xdr:rowOff>83344</xdr:rowOff>
    </xdr:from>
    <xdr:ext cx="0" cy="294543"/>
    <xdr:pic>
      <xdr:nvPicPr>
        <xdr:cNvPr id="78" name="Picture 77" descr="NewStar.png">
          <a:extLst>
            <a:ext uri="{FF2B5EF4-FFF2-40B4-BE49-F238E27FC236}">
              <a16:creationId xmlns:a16="http://schemas.microsoft.com/office/drawing/2014/main" id="{00000000-0008-0000-0000-00004E000000}"/>
            </a:ext>
          </a:extLst>
        </xdr:cNvPr>
        <xdr:cNvPicPr>
          <a:picLocks/>
        </xdr:cNvPicPr>
      </xdr:nvPicPr>
      <xdr:blipFill>
        <a:blip xmlns:r="http://schemas.openxmlformats.org/officeDocument/2006/relationships" r:embed="rId1" cstate="print"/>
        <a:stretch>
          <a:fillRect/>
        </a:stretch>
      </xdr:blipFill>
      <xdr:spPr>
        <a:xfrm>
          <a:off x="5918993" y="9030494"/>
          <a:ext cx="0" cy="294543"/>
        </a:xfrm>
        <a:prstGeom prst="rect">
          <a:avLst/>
        </a:prstGeom>
      </xdr:spPr>
    </xdr:pic>
    <xdr:clientData/>
  </xdr:oneCellAnchor>
  <xdr:oneCellAnchor>
    <xdr:from>
      <xdr:col>5</xdr:col>
      <xdr:colOff>350043</xdr:colOff>
      <xdr:row>48</xdr:row>
      <xdr:rowOff>83344</xdr:rowOff>
    </xdr:from>
    <xdr:ext cx="0" cy="294543"/>
    <xdr:pic>
      <xdr:nvPicPr>
        <xdr:cNvPr id="79" name="Picture 78" descr="NewStar.png">
          <a:extLst>
            <a:ext uri="{FF2B5EF4-FFF2-40B4-BE49-F238E27FC236}">
              <a16:creationId xmlns:a16="http://schemas.microsoft.com/office/drawing/2014/main" id="{00000000-0008-0000-0000-00004F000000}"/>
            </a:ext>
          </a:extLst>
        </xdr:cNvPr>
        <xdr:cNvPicPr>
          <a:picLocks/>
        </xdr:cNvPicPr>
      </xdr:nvPicPr>
      <xdr:blipFill>
        <a:blip xmlns:r="http://schemas.openxmlformats.org/officeDocument/2006/relationships" r:embed="rId1" cstate="print"/>
        <a:stretch>
          <a:fillRect/>
        </a:stretch>
      </xdr:blipFill>
      <xdr:spPr>
        <a:xfrm>
          <a:off x="5201443" y="9030494"/>
          <a:ext cx="0" cy="294543"/>
        </a:xfrm>
        <a:prstGeom prst="rect">
          <a:avLst/>
        </a:prstGeom>
      </xdr:spPr>
    </xdr:pic>
    <xdr:clientData/>
  </xdr:oneCellAnchor>
  <xdr:oneCellAnchor>
    <xdr:from>
      <xdr:col>6</xdr:col>
      <xdr:colOff>350043</xdr:colOff>
      <xdr:row>48</xdr:row>
      <xdr:rowOff>83344</xdr:rowOff>
    </xdr:from>
    <xdr:ext cx="0" cy="294543"/>
    <xdr:pic>
      <xdr:nvPicPr>
        <xdr:cNvPr id="80" name="Picture 79" descr="NewStar.png">
          <a:extLst>
            <a:ext uri="{FF2B5EF4-FFF2-40B4-BE49-F238E27FC236}">
              <a16:creationId xmlns:a16="http://schemas.microsoft.com/office/drawing/2014/main" id="{00000000-0008-0000-0000-000050000000}"/>
            </a:ext>
          </a:extLst>
        </xdr:cNvPr>
        <xdr:cNvPicPr>
          <a:picLocks/>
        </xdr:cNvPicPr>
      </xdr:nvPicPr>
      <xdr:blipFill>
        <a:blip xmlns:r="http://schemas.openxmlformats.org/officeDocument/2006/relationships" r:embed="rId1" cstate="print"/>
        <a:stretch>
          <a:fillRect/>
        </a:stretch>
      </xdr:blipFill>
      <xdr:spPr>
        <a:xfrm>
          <a:off x="5918993" y="9030494"/>
          <a:ext cx="0" cy="294543"/>
        </a:xfrm>
        <a:prstGeom prst="rect">
          <a:avLst/>
        </a:prstGeom>
      </xdr:spPr>
    </xdr:pic>
    <xdr:clientData/>
  </xdr:oneCellAnchor>
  <xdr:oneCellAnchor>
    <xdr:from>
      <xdr:col>5</xdr:col>
      <xdr:colOff>350043</xdr:colOff>
      <xdr:row>48</xdr:row>
      <xdr:rowOff>83344</xdr:rowOff>
    </xdr:from>
    <xdr:ext cx="0" cy="294543"/>
    <xdr:pic>
      <xdr:nvPicPr>
        <xdr:cNvPr id="81" name="Picture 80" descr="NewStar.png">
          <a:extLst>
            <a:ext uri="{FF2B5EF4-FFF2-40B4-BE49-F238E27FC236}">
              <a16:creationId xmlns:a16="http://schemas.microsoft.com/office/drawing/2014/main" id="{00000000-0008-0000-0000-000051000000}"/>
            </a:ext>
          </a:extLst>
        </xdr:cNvPr>
        <xdr:cNvPicPr>
          <a:picLocks/>
        </xdr:cNvPicPr>
      </xdr:nvPicPr>
      <xdr:blipFill>
        <a:blip xmlns:r="http://schemas.openxmlformats.org/officeDocument/2006/relationships" r:embed="rId1" cstate="print"/>
        <a:stretch>
          <a:fillRect/>
        </a:stretch>
      </xdr:blipFill>
      <xdr:spPr>
        <a:xfrm>
          <a:off x="5201443" y="9030494"/>
          <a:ext cx="0" cy="294543"/>
        </a:xfrm>
        <a:prstGeom prst="rect">
          <a:avLst/>
        </a:prstGeom>
      </xdr:spPr>
    </xdr:pic>
    <xdr:clientData/>
  </xdr:oneCellAnchor>
  <xdr:oneCellAnchor>
    <xdr:from>
      <xdr:col>6</xdr:col>
      <xdr:colOff>350043</xdr:colOff>
      <xdr:row>48</xdr:row>
      <xdr:rowOff>83344</xdr:rowOff>
    </xdr:from>
    <xdr:ext cx="0" cy="294543"/>
    <xdr:pic>
      <xdr:nvPicPr>
        <xdr:cNvPr id="82" name="Picture 81" descr="NewStar.png">
          <a:extLst>
            <a:ext uri="{FF2B5EF4-FFF2-40B4-BE49-F238E27FC236}">
              <a16:creationId xmlns:a16="http://schemas.microsoft.com/office/drawing/2014/main" id="{00000000-0008-0000-0000-000052000000}"/>
            </a:ext>
          </a:extLst>
        </xdr:cNvPr>
        <xdr:cNvPicPr>
          <a:picLocks/>
        </xdr:cNvPicPr>
      </xdr:nvPicPr>
      <xdr:blipFill>
        <a:blip xmlns:r="http://schemas.openxmlformats.org/officeDocument/2006/relationships" r:embed="rId1" cstate="print"/>
        <a:stretch>
          <a:fillRect/>
        </a:stretch>
      </xdr:blipFill>
      <xdr:spPr>
        <a:xfrm>
          <a:off x="5918993" y="9030494"/>
          <a:ext cx="0" cy="294543"/>
        </a:xfrm>
        <a:prstGeom prst="rect">
          <a:avLst/>
        </a:prstGeom>
      </xdr:spPr>
    </xdr:pic>
    <xdr:clientData/>
  </xdr:oneCellAnchor>
  <xdr:oneCellAnchor>
    <xdr:from>
      <xdr:col>5</xdr:col>
      <xdr:colOff>350043</xdr:colOff>
      <xdr:row>48</xdr:row>
      <xdr:rowOff>83344</xdr:rowOff>
    </xdr:from>
    <xdr:ext cx="0" cy="294543"/>
    <xdr:pic>
      <xdr:nvPicPr>
        <xdr:cNvPr id="83" name="Picture 82" descr="NewStar.png">
          <a:extLst>
            <a:ext uri="{FF2B5EF4-FFF2-40B4-BE49-F238E27FC236}">
              <a16:creationId xmlns:a16="http://schemas.microsoft.com/office/drawing/2014/main" id="{00000000-0008-0000-0000-000053000000}"/>
            </a:ext>
          </a:extLst>
        </xdr:cNvPr>
        <xdr:cNvPicPr>
          <a:picLocks/>
        </xdr:cNvPicPr>
      </xdr:nvPicPr>
      <xdr:blipFill>
        <a:blip xmlns:r="http://schemas.openxmlformats.org/officeDocument/2006/relationships" r:embed="rId1" cstate="print"/>
        <a:stretch>
          <a:fillRect/>
        </a:stretch>
      </xdr:blipFill>
      <xdr:spPr>
        <a:xfrm>
          <a:off x="5201443" y="9030494"/>
          <a:ext cx="0" cy="294543"/>
        </a:xfrm>
        <a:prstGeom prst="rect">
          <a:avLst/>
        </a:prstGeom>
      </xdr:spPr>
    </xdr:pic>
    <xdr:clientData/>
  </xdr:oneCellAnchor>
  <xdr:oneCellAnchor>
    <xdr:from>
      <xdr:col>6</xdr:col>
      <xdr:colOff>350043</xdr:colOff>
      <xdr:row>48</xdr:row>
      <xdr:rowOff>83344</xdr:rowOff>
    </xdr:from>
    <xdr:ext cx="0" cy="294543"/>
    <xdr:pic>
      <xdr:nvPicPr>
        <xdr:cNvPr id="84" name="Picture 83" descr="NewStar.png">
          <a:extLst>
            <a:ext uri="{FF2B5EF4-FFF2-40B4-BE49-F238E27FC236}">
              <a16:creationId xmlns:a16="http://schemas.microsoft.com/office/drawing/2014/main" id="{CEE6A26D-3011-444D-9D19-DF377C6ED0E2}"/>
            </a:ext>
          </a:extLst>
        </xdr:cNvPr>
        <xdr:cNvPicPr>
          <a:picLocks/>
        </xdr:cNvPicPr>
      </xdr:nvPicPr>
      <xdr:blipFill>
        <a:blip xmlns:r="http://schemas.openxmlformats.org/officeDocument/2006/relationships" r:embed="rId1" cstate="print"/>
        <a:stretch>
          <a:fillRect/>
        </a:stretch>
      </xdr:blipFill>
      <xdr:spPr>
        <a:xfrm>
          <a:off x="5906293" y="8906669"/>
          <a:ext cx="0" cy="294543"/>
        </a:xfrm>
        <a:prstGeom prst="rect">
          <a:avLst/>
        </a:prstGeom>
      </xdr:spPr>
    </xdr:pic>
    <xdr:clientData/>
  </xdr:oneCellAnchor>
  <xdr:oneCellAnchor>
    <xdr:from>
      <xdr:col>5</xdr:col>
      <xdr:colOff>350043</xdr:colOff>
      <xdr:row>48</xdr:row>
      <xdr:rowOff>83344</xdr:rowOff>
    </xdr:from>
    <xdr:ext cx="0" cy="294543"/>
    <xdr:pic>
      <xdr:nvPicPr>
        <xdr:cNvPr id="85" name="Picture 84" descr="NewStar.png">
          <a:extLst>
            <a:ext uri="{FF2B5EF4-FFF2-40B4-BE49-F238E27FC236}">
              <a16:creationId xmlns:a16="http://schemas.microsoft.com/office/drawing/2014/main" id="{80A439A1-92AC-4D22-8E5A-60ED287EAC09}"/>
            </a:ext>
          </a:extLst>
        </xdr:cNvPr>
        <xdr:cNvPicPr>
          <a:picLocks/>
        </xdr:cNvPicPr>
      </xdr:nvPicPr>
      <xdr:blipFill>
        <a:blip xmlns:r="http://schemas.openxmlformats.org/officeDocument/2006/relationships" r:embed="rId1" cstate="print"/>
        <a:stretch>
          <a:fillRect/>
        </a:stretch>
      </xdr:blipFill>
      <xdr:spPr>
        <a:xfrm>
          <a:off x="5191918" y="8906669"/>
          <a:ext cx="0" cy="294543"/>
        </a:xfrm>
        <a:prstGeom prst="rect">
          <a:avLst/>
        </a:prstGeom>
      </xdr:spPr>
    </xdr:pic>
    <xdr:clientData/>
  </xdr:oneCellAnchor>
  <xdr:oneCellAnchor>
    <xdr:from>
      <xdr:col>6</xdr:col>
      <xdr:colOff>350043</xdr:colOff>
      <xdr:row>48</xdr:row>
      <xdr:rowOff>83344</xdr:rowOff>
    </xdr:from>
    <xdr:ext cx="0" cy="294543"/>
    <xdr:pic>
      <xdr:nvPicPr>
        <xdr:cNvPr id="5" name="Picture 4" descr="NewStar.png">
          <a:extLst>
            <a:ext uri="{FF2B5EF4-FFF2-40B4-BE49-F238E27FC236}">
              <a16:creationId xmlns:a16="http://schemas.microsoft.com/office/drawing/2014/main" id="{E610CE1F-DA80-4BF9-973E-A8B88E626ECA}"/>
            </a:ext>
          </a:extLst>
        </xdr:cNvPr>
        <xdr:cNvPicPr>
          <a:picLocks/>
        </xdr:cNvPicPr>
      </xdr:nvPicPr>
      <xdr:blipFill>
        <a:blip xmlns:r="http://schemas.openxmlformats.org/officeDocument/2006/relationships" r:embed="rId1" cstate="print"/>
        <a:stretch>
          <a:fillRect/>
        </a:stretch>
      </xdr:blipFill>
      <xdr:spPr>
        <a:xfrm>
          <a:off x="5963443" y="8906669"/>
          <a:ext cx="0" cy="294543"/>
        </a:xfrm>
        <a:prstGeom prst="rect">
          <a:avLst/>
        </a:prstGeom>
      </xdr:spPr>
    </xdr:pic>
    <xdr:clientData/>
  </xdr:oneCellAnchor>
  <xdr:oneCellAnchor>
    <xdr:from>
      <xdr:col>5</xdr:col>
      <xdr:colOff>350043</xdr:colOff>
      <xdr:row>48</xdr:row>
      <xdr:rowOff>83344</xdr:rowOff>
    </xdr:from>
    <xdr:ext cx="0" cy="294543"/>
    <xdr:pic>
      <xdr:nvPicPr>
        <xdr:cNvPr id="6" name="Picture 5" descr="NewStar.png">
          <a:extLst>
            <a:ext uri="{FF2B5EF4-FFF2-40B4-BE49-F238E27FC236}">
              <a16:creationId xmlns:a16="http://schemas.microsoft.com/office/drawing/2014/main" id="{948DE63B-34E9-4EF2-8FB8-8DA581D005F6}"/>
            </a:ext>
          </a:extLst>
        </xdr:cNvPr>
        <xdr:cNvPicPr>
          <a:picLocks/>
        </xdr:cNvPicPr>
      </xdr:nvPicPr>
      <xdr:blipFill>
        <a:blip xmlns:r="http://schemas.openxmlformats.org/officeDocument/2006/relationships" r:embed="rId1" cstate="print"/>
        <a:stretch>
          <a:fillRect/>
        </a:stretch>
      </xdr:blipFill>
      <xdr:spPr>
        <a:xfrm>
          <a:off x="5230018" y="8906669"/>
          <a:ext cx="0" cy="294543"/>
        </a:xfrm>
        <a:prstGeom prst="rect">
          <a:avLst/>
        </a:prstGeom>
      </xdr:spPr>
    </xdr:pic>
    <xdr:clientData/>
  </xdr:oneCellAnchor>
  <xdr:oneCellAnchor>
    <xdr:from>
      <xdr:col>6</xdr:col>
      <xdr:colOff>350043</xdr:colOff>
      <xdr:row>48</xdr:row>
      <xdr:rowOff>83344</xdr:rowOff>
    </xdr:from>
    <xdr:ext cx="0" cy="294543"/>
    <xdr:pic>
      <xdr:nvPicPr>
        <xdr:cNvPr id="3" name="Picture 2" descr="NewStar.png">
          <a:extLst>
            <a:ext uri="{FF2B5EF4-FFF2-40B4-BE49-F238E27FC236}">
              <a16:creationId xmlns:a16="http://schemas.microsoft.com/office/drawing/2014/main" id="{2416558D-4D99-468B-B99A-04D770094A4E}"/>
            </a:ext>
          </a:extLst>
        </xdr:cNvPr>
        <xdr:cNvPicPr>
          <a:picLocks/>
        </xdr:cNvPicPr>
      </xdr:nvPicPr>
      <xdr:blipFill>
        <a:blip xmlns:r="http://schemas.openxmlformats.org/officeDocument/2006/relationships" r:embed="rId1" cstate="print"/>
        <a:stretch>
          <a:fillRect/>
        </a:stretch>
      </xdr:blipFill>
      <xdr:spPr>
        <a:xfrm>
          <a:off x="5963443" y="9024144"/>
          <a:ext cx="0" cy="294543"/>
        </a:xfrm>
        <a:prstGeom prst="rect">
          <a:avLst/>
        </a:prstGeom>
      </xdr:spPr>
    </xdr:pic>
    <xdr:clientData/>
  </xdr:oneCellAnchor>
  <xdr:oneCellAnchor>
    <xdr:from>
      <xdr:col>5</xdr:col>
      <xdr:colOff>350043</xdr:colOff>
      <xdr:row>48</xdr:row>
      <xdr:rowOff>83344</xdr:rowOff>
    </xdr:from>
    <xdr:ext cx="0" cy="294543"/>
    <xdr:pic>
      <xdr:nvPicPr>
        <xdr:cNvPr id="4" name="Picture 3" descr="NewStar.png">
          <a:extLst>
            <a:ext uri="{FF2B5EF4-FFF2-40B4-BE49-F238E27FC236}">
              <a16:creationId xmlns:a16="http://schemas.microsoft.com/office/drawing/2014/main" id="{B3045EAF-9198-4533-8268-9521F82E0597}"/>
            </a:ext>
          </a:extLst>
        </xdr:cNvPr>
        <xdr:cNvPicPr>
          <a:picLocks/>
        </xdr:cNvPicPr>
      </xdr:nvPicPr>
      <xdr:blipFill>
        <a:blip xmlns:r="http://schemas.openxmlformats.org/officeDocument/2006/relationships" r:embed="rId1" cstate="print"/>
        <a:stretch>
          <a:fillRect/>
        </a:stretch>
      </xdr:blipFill>
      <xdr:spPr>
        <a:xfrm>
          <a:off x="5233193" y="9024144"/>
          <a:ext cx="0" cy="294543"/>
        </a:xfrm>
        <a:prstGeom prst="rect">
          <a:avLst/>
        </a:prstGeom>
      </xdr:spPr>
    </xdr:pic>
    <xdr:clientData/>
  </xdr:oneCellAnchor>
  <xdr:oneCellAnchor>
    <xdr:from>
      <xdr:col>6</xdr:col>
      <xdr:colOff>350043</xdr:colOff>
      <xdr:row>48</xdr:row>
      <xdr:rowOff>83344</xdr:rowOff>
    </xdr:from>
    <xdr:ext cx="0" cy="294543"/>
    <xdr:pic>
      <xdr:nvPicPr>
        <xdr:cNvPr id="7" name="Picture 6" descr="NewStar.png">
          <a:extLst>
            <a:ext uri="{FF2B5EF4-FFF2-40B4-BE49-F238E27FC236}">
              <a16:creationId xmlns:a16="http://schemas.microsoft.com/office/drawing/2014/main" id="{FFAAEE16-E2B1-438A-A686-214D7079ECC5}"/>
            </a:ext>
          </a:extLst>
        </xdr:cNvPr>
        <xdr:cNvPicPr>
          <a:picLocks/>
        </xdr:cNvPicPr>
      </xdr:nvPicPr>
      <xdr:blipFill>
        <a:blip xmlns:r="http://schemas.openxmlformats.org/officeDocument/2006/relationships" r:embed="rId1" cstate="print"/>
        <a:stretch>
          <a:fillRect/>
        </a:stretch>
      </xdr:blipFill>
      <xdr:spPr>
        <a:xfrm>
          <a:off x="5859303" y="8983504"/>
          <a:ext cx="0" cy="294543"/>
        </a:xfrm>
        <a:prstGeom prst="rect">
          <a:avLst/>
        </a:prstGeom>
      </xdr:spPr>
    </xdr:pic>
    <xdr:clientData/>
  </xdr:oneCellAnchor>
  <xdr:oneCellAnchor>
    <xdr:from>
      <xdr:col>5</xdr:col>
      <xdr:colOff>350043</xdr:colOff>
      <xdr:row>48</xdr:row>
      <xdr:rowOff>83344</xdr:rowOff>
    </xdr:from>
    <xdr:ext cx="0" cy="294543"/>
    <xdr:pic>
      <xdr:nvPicPr>
        <xdr:cNvPr id="8" name="Picture 7" descr="NewStar.png">
          <a:extLst>
            <a:ext uri="{FF2B5EF4-FFF2-40B4-BE49-F238E27FC236}">
              <a16:creationId xmlns:a16="http://schemas.microsoft.com/office/drawing/2014/main" id="{D9738FA8-A577-4A4C-A5AA-87D69B86C413}"/>
            </a:ext>
          </a:extLst>
        </xdr:cNvPr>
        <xdr:cNvPicPr>
          <a:picLocks/>
        </xdr:cNvPicPr>
      </xdr:nvPicPr>
      <xdr:blipFill>
        <a:blip xmlns:r="http://schemas.openxmlformats.org/officeDocument/2006/relationships" r:embed="rId1" cstate="print"/>
        <a:stretch>
          <a:fillRect/>
        </a:stretch>
      </xdr:blipFill>
      <xdr:spPr>
        <a:xfrm>
          <a:off x="5143023" y="8983504"/>
          <a:ext cx="0" cy="294543"/>
        </a:xfrm>
        <a:prstGeom prst="rect">
          <a:avLst/>
        </a:prstGeom>
      </xdr:spPr>
    </xdr:pic>
    <xdr:clientData/>
  </xdr:oneCellAnchor>
  <xdr:oneCellAnchor>
    <xdr:from>
      <xdr:col>6</xdr:col>
      <xdr:colOff>350043</xdr:colOff>
      <xdr:row>48</xdr:row>
      <xdr:rowOff>83344</xdr:rowOff>
    </xdr:from>
    <xdr:ext cx="0" cy="294543"/>
    <xdr:pic>
      <xdr:nvPicPr>
        <xdr:cNvPr id="49" name="Picture 48" descr="NewStar.png">
          <a:extLst>
            <a:ext uri="{FF2B5EF4-FFF2-40B4-BE49-F238E27FC236}">
              <a16:creationId xmlns:a16="http://schemas.microsoft.com/office/drawing/2014/main" id="{FA8E381D-969B-4B8B-B4C4-79F85023312F}"/>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50" name="Picture 49" descr="NewStar.png">
          <a:extLst>
            <a:ext uri="{FF2B5EF4-FFF2-40B4-BE49-F238E27FC236}">
              <a16:creationId xmlns:a16="http://schemas.microsoft.com/office/drawing/2014/main" id="{1D49E618-2557-452A-9794-8B6C583365F8}"/>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51" name="Picture 50" descr="NewStar.png">
          <a:extLst>
            <a:ext uri="{FF2B5EF4-FFF2-40B4-BE49-F238E27FC236}">
              <a16:creationId xmlns:a16="http://schemas.microsoft.com/office/drawing/2014/main" id="{3F08C3A3-4CFD-4992-9A44-D3D4BE2E2620}"/>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52" name="Picture 51" descr="NewStar.png">
          <a:extLst>
            <a:ext uri="{FF2B5EF4-FFF2-40B4-BE49-F238E27FC236}">
              <a16:creationId xmlns:a16="http://schemas.microsoft.com/office/drawing/2014/main" id="{EA39AD09-E556-44E0-913E-5FDA7C253A37}"/>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53" name="Picture 52" descr="NewStar.png">
          <a:extLst>
            <a:ext uri="{FF2B5EF4-FFF2-40B4-BE49-F238E27FC236}">
              <a16:creationId xmlns:a16="http://schemas.microsoft.com/office/drawing/2014/main" id="{0DADD4F4-FDA9-47D5-BBF4-00BE6521CE47}"/>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54" name="Picture 53" descr="NewStar.png">
          <a:extLst>
            <a:ext uri="{FF2B5EF4-FFF2-40B4-BE49-F238E27FC236}">
              <a16:creationId xmlns:a16="http://schemas.microsoft.com/office/drawing/2014/main" id="{20FAAA41-11B4-4B5C-8CBF-205BAC89C9D6}"/>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55" name="Picture 54" descr="NewStar.png">
          <a:extLst>
            <a:ext uri="{FF2B5EF4-FFF2-40B4-BE49-F238E27FC236}">
              <a16:creationId xmlns:a16="http://schemas.microsoft.com/office/drawing/2014/main" id="{9085FEFE-6CC8-46EE-97F8-FC536199E53F}"/>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56" name="Picture 55" descr="NewStar.png">
          <a:extLst>
            <a:ext uri="{FF2B5EF4-FFF2-40B4-BE49-F238E27FC236}">
              <a16:creationId xmlns:a16="http://schemas.microsoft.com/office/drawing/2014/main" id="{71608C3C-B07F-4C7B-8BF6-4377D44F78A8}"/>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57" name="Picture 56" descr="NewStar.png">
          <a:extLst>
            <a:ext uri="{FF2B5EF4-FFF2-40B4-BE49-F238E27FC236}">
              <a16:creationId xmlns:a16="http://schemas.microsoft.com/office/drawing/2014/main" id="{2D8D31C9-9255-4172-B36D-312806A96868}"/>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58" name="Picture 57" descr="NewStar.png">
          <a:extLst>
            <a:ext uri="{FF2B5EF4-FFF2-40B4-BE49-F238E27FC236}">
              <a16:creationId xmlns:a16="http://schemas.microsoft.com/office/drawing/2014/main" id="{AC7EA2EC-3874-4641-9E16-5AA575E2A3AA}"/>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59" name="Picture 58" descr="NewStar.png">
          <a:extLst>
            <a:ext uri="{FF2B5EF4-FFF2-40B4-BE49-F238E27FC236}">
              <a16:creationId xmlns:a16="http://schemas.microsoft.com/office/drawing/2014/main" id="{1DC13063-F5A8-4A65-86B7-EB20E6E3423C}"/>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60" name="Picture 59" descr="NewStar.png">
          <a:extLst>
            <a:ext uri="{FF2B5EF4-FFF2-40B4-BE49-F238E27FC236}">
              <a16:creationId xmlns:a16="http://schemas.microsoft.com/office/drawing/2014/main" id="{E2C21FC8-3E45-438F-9DA6-CB004AEAF96D}"/>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61" name="Picture 60" descr="NewStar.png">
          <a:extLst>
            <a:ext uri="{FF2B5EF4-FFF2-40B4-BE49-F238E27FC236}">
              <a16:creationId xmlns:a16="http://schemas.microsoft.com/office/drawing/2014/main" id="{26308E44-C627-4506-9465-4B6A76BEE6E9}"/>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62" name="Picture 61" descr="NewStar.png">
          <a:extLst>
            <a:ext uri="{FF2B5EF4-FFF2-40B4-BE49-F238E27FC236}">
              <a16:creationId xmlns:a16="http://schemas.microsoft.com/office/drawing/2014/main" id="{93727474-5DA2-40FC-A0FA-740C800CFA70}"/>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63" name="Picture 62" descr="NewStar.png">
          <a:extLst>
            <a:ext uri="{FF2B5EF4-FFF2-40B4-BE49-F238E27FC236}">
              <a16:creationId xmlns:a16="http://schemas.microsoft.com/office/drawing/2014/main" id="{6EBE5E38-7ADE-489E-B6EE-E90B3577C877}"/>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64" name="Picture 63" descr="NewStar.png">
          <a:extLst>
            <a:ext uri="{FF2B5EF4-FFF2-40B4-BE49-F238E27FC236}">
              <a16:creationId xmlns:a16="http://schemas.microsoft.com/office/drawing/2014/main" id="{C9D3DAC2-ECCC-48C0-8A12-E56297CBE043}"/>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65" name="Picture 64" descr="NewStar.png">
          <a:extLst>
            <a:ext uri="{FF2B5EF4-FFF2-40B4-BE49-F238E27FC236}">
              <a16:creationId xmlns:a16="http://schemas.microsoft.com/office/drawing/2014/main" id="{D9660395-97BE-47BA-AE50-DDA471B78A0D}"/>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66" name="Picture 65" descr="NewStar.png">
          <a:extLst>
            <a:ext uri="{FF2B5EF4-FFF2-40B4-BE49-F238E27FC236}">
              <a16:creationId xmlns:a16="http://schemas.microsoft.com/office/drawing/2014/main" id="{1C087640-211D-4150-8510-685AEE4D192A}"/>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67" name="Picture 66" descr="NewStar.png">
          <a:extLst>
            <a:ext uri="{FF2B5EF4-FFF2-40B4-BE49-F238E27FC236}">
              <a16:creationId xmlns:a16="http://schemas.microsoft.com/office/drawing/2014/main" id="{B6432BAE-C3CE-4719-913F-8242C1E1FC2F}"/>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72" name="Picture 71" descr="NewStar.png">
          <a:extLst>
            <a:ext uri="{FF2B5EF4-FFF2-40B4-BE49-F238E27FC236}">
              <a16:creationId xmlns:a16="http://schemas.microsoft.com/office/drawing/2014/main" id="{358E3EE6-0A84-4EE2-8B4C-A6E6F85A25ED}"/>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73" name="Picture 72" descr="NewStar.png">
          <a:extLst>
            <a:ext uri="{FF2B5EF4-FFF2-40B4-BE49-F238E27FC236}">
              <a16:creationId xmlns:a16="http://schemas.microsoft.com/office/drawing/2014/main" id="{AA386AB2-BA36-4570-B5B8-B7FCAC205B4C}"/>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74" name="Picture 73" descr="NewStar.png">
          <a:extLst>
            <a:ext uri="{FF2B5EF4-FFF2-40B4-BE49-F238E27FC236}">
              <a16:creationId xmlns:a16="http://schemas.microsoft.com/office/drawing/2014/main" id="{CD984FC1-40FD-4EC0-B4C6-6C67B5F346EC}"/>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86" name="Picture 85" descr="NewStar.png">
          <a:extLst>
            <a:ext uri="{FF2B5EF4-FFF2-40B4-BE49-F238E27FC236}">
              <a16:creationId xmlns:a16="http://schemas.microsoft.com/office/drawing/2014/main" id="{BBDF6580-EB29-43D8-B89E-48B7C9F8A6BE}"/>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87" name="Picture 86" descr="NewStar.png">
          <a:extLst>
            <a:ext uri="{FF2B5EF4-FFF2-40B4-BE49-F238E27FC236}">
              <a16:creationId xmlns:a16="http://schemas.microsoft.com/office/drawing/2014/main" id="{160E9DC7-C7D0-4B1F-93F2-FCC09D025057}"/>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88" name="Picture 87" descr="NewStar.png">
          <a:extLst>
            <a:ext uri="{FF2B5EF4-FFF2-40B4-BE49-F238E27FC236}">
              <a16:creationId xmlns:a16="http://schemas.microsoft.com/office/drawing/2014/main" id="{D87E0F7E-E4E0-4F9E-A3C1-8632C02B0488}"/>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89" name="Picture 88" descr="NewStar.png">
          <a:extLst>
            <a:ext uri="{FF2B5EF4-FFF2-40B4-BE49-F238E27FC236}">
              <a16:creationId xmlns:a16="http://schemas.microsoft.com/office/drawing/2014/main" id="{700A6775-64F7-48B4-931C-A460B6A80F5B}"/>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90" name="Picture 89" descr="NewStar.png">
          <a:extLst>
            <a:ext uri="{FF2B5EF4-FFF2-40B4-BE49-F238E27FC236}">
              <a16:creationId xmlns:a16="http://schemas.microsoft.com/office/drawing/2014/main" id="{1F3DD51D-36B6-4FC0-88BA-7CCD5B05F839}"/>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32" name="Picture 131" descr="NewStar.png">
          <a:extLst>
            <a:ext uri="{FF2B5EF4-FFF2-40B4-BE49-F238E27FC236}">
              <a16:creationId xmlns:a16="http://schemas.microsoft.com/office/drawing/2014/main" id="{8DF70C32-1DB4-43B7-8B38-701504CE6FED}"/>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33" name="Picture 132" descr="NewStar.png">
          <a:extLst>
            <a:ext uri="{FF2B5EF4-FFF2-40B4-BE49-F238E27FC236}">
              <a16:creationId xmlns:a16="http://schemas.microsoft.com/office/drawing/2014/main" id="{62A4C3E6-7525-4FAA-9F45-399A9EC52BC8}"/>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34" name="Picture 133" descr="NewStar.png">
          <a:extLst>
            <a:ext uri="{FF2B5EF4-FFF2-40B4-BE49-F238E27FC236}">
              <a16:creationId xmlns:a16="http://schemas.microsoft.com/office/drawing/2014/main" id="{2BB3C667-E8EE-4108-96BE-637DFA34962B}"/>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35" name="Picture 134" descr="NewStar.png">
          <a:extLst>
            <a:ext uri="{FF2B5EF4-FFF2-40B4-BE49-F238E27FC236}">
              <a16:creationId xmlns:a16="http://schemas.microsoft.com/office/drawing/2014/main" id="{1194DAD8-5CB5-4A51-8D6E-90D8896CE24B}"/>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36" name="Picture 135" descr="NewStar.png">
          <a:extLst>
            <a:ext uri="{FF2B5EF4-FFF2-40B4-BE49-F238E27FC236}">
              <a16:creationId xmlns:a16="http://schemas.microsoft.com/office/drawing/2014/main" id="{7D15188D-10EB-4C63-BC74-616C59A20E04}"/>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53" name="Picture 152" descr="NewStar.png">
          <a:extLst>
            <a:ext uri="{FF2B5EF4-FFF2-40B4-BE49-F238E27FC236}">
              <a16:creationId xmlns:a16="http://schemas.microsoft.com/office/drawing/2014/main" id="{92A5410D-459C-4501-8202-897D8940445E}"/>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54" name="Picture 153" descr="NewStar.png">
          <a:extLst>
            <a:ext uri="{FF2B5EF4-FFF2-40B4-BE49-F238E27FC236}">
              <a16:creationId xmlns:a16="http://schemas.microsoft.com/office/drawing/2014/main" id="{2E645163-EDAA-453D-B827-2D8A2976F008}"/>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350043</xdr:colOff>
      <xdr:row>48</xdr:row>
      <xdr:rowOff>83344</xdr:rowOff>
    </xdr:from>
    <xdr:ext cx="0" cy="294543"/>
    <xdr:pic>
      <xdr:nvPicPr>
        <xdr:cNvPr id="155" name="Picture 154" descr="NewStar.png">
          <a:extLst>
            <a:ext uri="{FF2B5EF4-FFF2-40B4-BE49-F238E27FC236}">
              <a16:creationId xmlns:a16="http://schemas.microsoft.com/office/drawing/2014/main" id="{A9D3741E-8AC7-441D-9903-549B0912D802}"/>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56" name="Picture 155" descr="NewStar.png">
          <a:extLst>
            <a:ext uri="{FF2B5EF4-FFF2-40B4-BE49-F238E27FC236}">
              <a16:creationId xmlns:a16="http://schemas.microsoft.com/office/drawing/2014/main" id="{C7A89F4A-6D8C-4B65-9413-4B5EAEC0B5A2}"/>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350043</xdr:colOff>
      <xdr:row>48</xdr:row>
      <xdr:rowOff>83344</xdr:rowOff>
    </xdr:from>
    <xdr:ext cx="0" cy="294543"/>
    <xdr:pic>
      <xdr:nvPicPr>
        <xdr:cNvPr id="157" name="Picture 156" descr="NewStar.png">
          <a:extLst>
            <a:ext uri="{FF2B5EF4-FFF2-40B4-BE49-F238E27FC236}">
              <a16:creationId xmlns:a16="http://schemas.microsoft.com/office/drawing/2014/main" id="{8494EA1B-EA96-4517-B818-46524D1F6C4D}"/>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58" name="Picture 157" descr="NewStar.png">
          <a:extLst>
            <a:ext uri="{FF2B5EF4-FFF2-40B4-BE49-F238E27FC236}">
              <a16:creationId xmlns:a16="http://schemas.microsoft.com/office/drawing/2014/main" id="{73CA73A3-EFC8-408B-986D-27E83F30D279}"/>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350043</xdr:colOff>
      <xdr:row>48</xdr:row>
      <xdr:rowOff>83344</xdr:rowOff>
    </xdr:from>
    <xdr:ext cx="0" cy="294543"/>
    <xdr:pic>
      <xdr:nvPicPr>
        <xdr:cNvPr id="159" name="Picture 158" descr="NewStar.png">
          <a:extLst>
            <a:ext uri="{FF2B5EF4-FFF2-40B4-BE49-F238E27FC236}">
              <a16:creationId xmlns:a16="http://schemas.microsoft.com/office/drawing/2014/main" id="{D1BC0A53-AB12-4ADF-813B-C73AA39F7ADB}"/>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60" name="Picture 159" descr="NewStar.png">
          <a:extLst>
            <a:ext uri="{FF2B5EF4-FFF2-40B4-BE49-F238E27FC236}">
              <a16:creationId xmlns:a16="http://schemas.microsoft.com/office/drawing/2014/main" id="{70BDB3F6-078F-4767-9274-921635D3A74D}"/>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350043</xdr:colOff>
      <xdr:row>48</xdr:row>
      <xdr:rowOff>83344</xdr:rowOff>
    </xdr:from>
    <xdr:ext cx="0" cy="294543"/>
    <xdr:pic>
      <xdr:nvPicPr>
        <xdr:cNvPr id="161" name="Picture 160" descr="NewStar.png">
          <a:extLst>
            <a:ext uri="{FF2B5EF4-FFF2-40B4-BE49-F238E27FC236}">
              <a16:creationId xmlns:a16="http://schemas.microsoft.com/office/drawing/2014/main" id="{4F124892-8242-4321-AE0C-B8890E0C2853}"/>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62" name="Picture 161" descr="NewStar.png">
          <a:extLst>
            <a:ext uri="{FF2B5EF4-FFF2-40B4-BE49-F238E27FC236}">
              <a16:creationId xmlns:a16="http://schemas.microsoft.com/office/drawing/2014/main" id="{092A231F-4058-4E6C-B3E6-F3A959BAAE1B}"/>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350043</xdr:colOff>
      <xdr:row>48</xdr:row>
      <xdr:rowOff>83344</xdr:rowOff>
    </xdr:from>
    <xdr:ext cx="0" cy="294543"/>
    <xdr:pic>
      <xdr:nvPicPr>
        <xdr:cNvPr id="163" name="Picture 162" descr="NewStar.png">
          <a:extLst>
            <a:ext uri="{FF2B5EF4-FFF2-40B4-BE49-F238E27FC236}">
              <a16:creationId xmlns:a16="http://schemas.microsoft.com/office/drawing/2014/main" id="{3E3A64C9-B4EA-417F-9A4C-773AF25E0FC1}"/>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64" name="Picture 163" descr="NewStar.png">
          <a:extLst>
            <a:ext uri="{FF2B5EF4-FFF2-40B4-BE49-F238E27FC236}">
              <a16:creationId xmlns:a16="http://schemas.microsoft.com/office/drawing/2014/main" id="{6491B3DE-90A8-4E1E-9C86-D3BB7BABC2F9}"/>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350043</xdr:colOff>
      <xdr:row>48</xdr:row>
      <xdr:rowOff>83344</xdr:rowOff>
    </xdr:from>
    <xdr:ext cx="0" cy="294543"/>
    <xdr:pic>
      <xdr:nvPicPr>
        <xdr:cNvPr id="165" name="Picture 164" descr="NewStar.png">
          <a:extLst>
            <a:ext uri="{FF2B5EF4-FFF2-40B4-BE49-F238E27FC236}">
              <a16:creationId xmlns:a16="http://schemas.microsoft.com/office/drawing/2014/main" id="{F3FA4A53-D9E0-489C-A1E9-ECB73300335E}"/>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66" name="Picture 165" descr="NewStar.png">
          <a:extLst>
            <a:ext uri="{FF2B5EF4-FFF2-40B4-BE49-F238E27FC236}">
              <a16:creationId xmlns:a16="http://schemas.microsoft.com/office/drawing/2014/main" id="{907E2848-D4A4-41CF-826F-417D8CBFF008}"/>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350043</xdr:colOff>
      <xdr:row>48</xdr:row>
      <xdr:rowOff>83344</xdr:rowOff>
    </xdr:from>
    <xdr:ext cx="0" cy="294543"/>
    <xdr:pic>
      <xdr:nvPicPr>
        <xdr:cNvPr id="167" name="Picture 166" descr="NewStar.png">
          <a:extLst>
            <a:ext uri="{FF2B5EF4-FFF2-40B4-BE49-F238E27FC236}">
              <a16:creationId xmlns:a16="http://schemas.microsoft.com/office/drawing/2014/main" id="{D13A4732-9A65-44D9-A12A-902053E1E08E}"/>
            </a:ext>
          </a:extLst>
        </xdr:cNvPr>
        <xdr:cNvPicPr>
          <a:picLocks/>
        </xdr:cNvPicPr>
      </xdr:nvPicPr>
      <xdr:blipFill>
        <a:blip xmlns:r="http://schemas.openxmlformats.org/officeDocument/2006/relationships" r:embed="rId1" cstate="print"/>
        <a:stretch>
          <a:fillRect/>
        </a:stretch>
      </xdr:blipFill>
      <xdr:spPr>
        <a:xfrm>
          <a:off x="5398293" y="9093994"/>
          <a:ext cx="0" cy="294543"/>
        </a:xfrm>
        <a:prstGeom prst="rect">
          <a:avLst/>
        </a:prstGeom>
      </xdr:spPr>
    </xdr:pic>
    <xdr:clientData/>
  </xdr:oneCellAnchor>
  <xdr:oneCellAnchor>
    <xdr:from>
      <xdr:col>5</xdr:col>
      <xdr:colOff>350043</xdr:colOff>
      <xdr:row>48</xdr:row>
      <xdr:rowOff>83344</xdr:rowOff>
    </xdr:from>
    <xdr:ext cx="0" cy="294543"/>
    <xdr:pic>
      <xdr:nvPicPr>
        <xdr:cNvPr id="168" name="Picture 167" descr="NewStar.png">
          <a:extLst>
            <a:ext uri="{FF2B5EF4-FFF2-40B4-BE49-F238E27FC236}">
              <a16:creationId xmlns:a16="http://schemas.microsoft.com/office/drawing/2014/main" id="{9AB6CB64-AEE2-4FF1-ADD3-7588938ED114}"/>
            </a:ext>
          </a:extLst>
        </xdr:cNvPr>
        <xdr:cNvPicPr>
          <a:picLocks/>
        </xdr:cNvPicPr>
      </xdr:nvPicPr>
      <xdr:blipFill>
        <a:blip xmlns:r="http://schemas.openxmlformats.org/officeDocument/2006/relationships" r:embed="rId1" cstate="print"/>
        <a:stretch>
          <a:fillRect/>
        </a:stretch>
      </xdr:blipFill>
      <xdr:spPr>
        <a:xfrm>
          <a:off x="4702968" y="9093994"/>
          <a:ext cx="0" cy="294543"/>
        </a:xfrm>
        <a:prstGeom prst="rect">
          <a:avLst/>
        </a:prstGeom>
      </xdr:spPr>
    </xdr:pic>
    <xdr:clientData/>
  </xdr:oneCellAnchor>
  <xdr:oneCellAnchor>
    <xdr:from>
      <xdr:col>6</xdr:col>
      <xdr:colOff>350950</xdr:colOff>
      <xdr:row>49</xdr:row>
      <xdr:rowOff>84251</xdr:rowOff>
    </xdr:from>
    <xdr:ext cx="0" cy="294543"/>
    <xdr:pic>
      <xdr:nvPicPr>
        <xdr:cNvPr id="9" name="Picture 8" descr="NewStar.png">
          <a:extLst>
            <a:ext uri="{FF2B5EF4-FFF2-40B4-BE49-F238E27FC236}">
              <a16:creationId xmlns:a16="http://schemas.microsoft.com/office/drawing/2014/main" id="{13BE601E-1B6A-4427-A904-87414510EFFC}"/>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49</xdr:row>
      <xdr:rowOff>84251</xdr:rowOff>
    </xdr:from>
    <xdr:ext cx="0" cy="294543"/>
    <xdr:pic>
      <xdr:nvPicPr>
        <xdr:cNvPr id="10" name="Picture 9" descr="NewStar.png">
          <a:extLst>
            <a:ext uri="{FF2B5EF4-FFF2-40B4-BE49-F238E27FC236}">
              <a16:creationId xmlns:a16="http://schemas.microsoft.com/office/drawing/2014/main" id="{3DC1425B-8463-400B-88DD-A194743B1456}"/>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49</xdr:row>
      <xdr:rowOff>84251</xdr:rowOff>
    </xdr:from>
    <xdr:ext cx="0" cy="294543"/>
    <xdr:pic>
      <xdr:nvPicPr>
        <xdr:cNvPr id="11" name="Picture 10" descr="NewStar.png">
          <a:extLst>
            <a:ext uri="{FF2B5EF4-FFF2-40B4-BE49-F238E27FC236}">
              <a16:creationId xmlns:a16="http://schemas.microsoft.com/office/drawing/2014/main" id="{50BACDBF-7B13-46AF-9766-43C4F3EAFB14}"/>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49</xdr:row>
      <xdr:rowOff>84251</xdr:rowOff>
    </xdr:from>
    <xdr:ext cx="0" cy="294543"/>
    <xdr:pic>
      <xdr:nvPicPr>
        <xdr:cNvPr id="12" name="Picture 11" descr="NewStar.png">
          <a:extLst>
            <a:ext uri="{FF2B5EF4-FFF2-40B4-BE49-F238E27FC236}">
              <a16:creationId xmlns:a16="http://schemas.microsoft.com/office/drawing/2014/main" id="{DE7BF44F-B1BC-4742-9487-45AE99E51913}"/>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49</xdr:row>
      <xdr:rowOff>84251</xdr:rowOff>
    </xdr:from>
    <xdr:ext cx="0" cy="294543"/>
    <xdr:pic>
      <xdr:nvPicPr>
        <xdr:cNvPr id="13" name="Picture 12" descr="NewStar.png">
          <a:extLst>
            <a:ext uri="{FF2B5EF4-FFF2-40B4-BE49-F238E27FC236}">
              <a16:creationId xmlns:a16="http://schemas.microsoft.com/office/drawing/2014/main" id="{41B8E7EF-E1D9-4DA4-AD38-36B28E513BAA}"/>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49</xdr:row>
      <xdr:rowOff>84251</xdr:rowOff>
    </xdr:from>
    <xdr:ext cx="0" cy="294543"/>
    <xdr:pic>
      <xdr:nvPicPr>
        <xdr:cNvPr id="14" name="Picture 13" descr="NewStar.png">
          <a:extLst>
            <a:ext uri="{FF2B5EF4-FFF2-40B4-BE49-F238E27FC236}">
              <a16:creationId xmlns:a16="http://schemas.microsoft.com/office/drawing/2014/main" id="{F5DAE998-D10B-4A39-85D9-333713EF8200}"/>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49</xdr:row>
      <xdr:rowOff>84251</xdr:rowOff>
    </xdr:from>
    <xdr:ext cx="0" cy="294543"/>
    <xdr:pic>
      <xdr:nvPicPr>
        <xdr:cNvPr id="15" name="Picture 14" descr="NewStar.png">
          <a:extLst>
            <a:ext uri="{FF2B5EF4-FFF2-40B4-BE49-F238E27FC236}">
              <a16:creationId xmlns:a16="http://schemas.microsoft.com/office/drawing/2014/main" id="{A2599570-DC72-4AE1-A35F-7694DBC218DE}"/>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49</xdr:row>
      <xdr:rowOff>84251</xdr:rowOff>
    </xdr:from>
    <xdr:ext cx="0" cy="294543"/>
    <xdr:pic>
      <xdr:nvPicPr>
        <xdr:cNvPr id="16" name="Picture 15" descr="NewStar.png">
          <a:extLst>
            <a:ext uri="{FF2B5EF4-FFF2-40B4-BE49-F238E27FC236}">
              <a16:creationId xmlns:a16="http://schemas.microsoft.com/office/drawing/2014/main" id="{DD31028F-B5F5-4FB4-BB0B-02C28C5C0BB6}"/>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49</xdr:row>
      <xdr:rowOff>84251</xdr:rowOff>
    </xdr:from>
    <xdr:ext cx="0" cy="294543"/>
    <xdr:pic>
      <xdr:nvPicPr>
        <xdr:cNvPr id="17" name="Picture 16" descr="NewStar.png">
          <a:extLst>
            <a:ext uri="{FF2B5EF4-FFF2-40B4-BE49-F238E27FC236}">
              <a16:creationId xmlns:a16="http://schemas.microsoft.com/office/drawing/2014/main" id="{67D4F2CA-D170-413B-874D-9DA5C4AB6C49}"/>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49</xdr:row>
      <xdr:rowOff>84251</xdr:rowOff>
    </xdr:from>
    <xdr:ext cx="0" cy="294543"/>
    <xdr:pic>
      <xdr:nvPicPr>
        <xdr:cNvPr id="18" name="Picture 17" descr="NewStar.png">
          <a:extLst>
            <a:ext uri="{FF2B5EF4-FFF2-40B4-BE49-F238E27FC236}">
              <a16:creationId xmlns:a16="http://schemas.microsoft.com/office/drawing/2014/main" id="{43263B1F-F837-4FF1-A192-8538613E446D}"/>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49</xdr:row>
      <xdr:rowOff>84251</xdr:rowOff>
    </xdr:from>
    <xdr:ext cx="0" cy="294543"/>
    <xdr:pic>
      <xdr:nvPicPr>
        <xdr:cNvPr id="19" name="Picture 18" descr="NewStar.png">
          <a:extLst>
            <a:ext uri="{FF2B5EF4-FFF2-40B4-BE49-F238E27FC236}">
              <a16:creationId xmlns:a16="http://schemas.microsoft.com/office/drawing/2014/main" id="{C7C2DBA3-C4E7-4634-855E-F4AEB0315648}"/>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49</xdr:row>
      <xdr:rowOff>84251</xdr:rowOff>
    </xdr:from>
    <xdr:ext cx="0" cy="294543"/>
    <xdr:pic>
      <xdr:nvPicPr>
        <xdr:cNvPr id="20" name="Picture 19" descr="NewStar.png">
          <a:extLst>
            <a:ext uri="{FF2B5EF4-FFF2-40B4-BE49-F238E27FC236}">
              <a16:creationId xmlns:a16="http://schemas.microsoft.com/office/drawing/2014/main" id="{F115D12E-7F33-4867-B668-158F81BC5050}"/>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49</xdr:row>
      <xdr:rowOff>84251</xdr:rowOff>
    </xdr:from>
    <xdr:ext cx="0" cy="294543"/>
    <xdr:pic>
      <xdr:nvPicPr>
        <xdr:cNvPr id="21" name="Picture 20" descr="NewStar.png">
          <a:extLst>
            <a:ext uri="{FF2B5EF4-FFF2-40B4-BE49-F238E27FC236}">
              <a16:creationId xmlns:a16="http://schemas.microsoft.com/office/drawing/2014/main" id="{1B890257-4282-4865-AEEE-6DF3AE179062}"/>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49</xdr:row>
      <xdr:rowOff>84251</xdr:rowOff>
    </xdr:from>
    <xdr:ext cx="0" cy="294543"/>
    <xdr:pic>
      <xdr:nvPicPr>
        <xdr:cNvPr id="22" name="Picture 21" descr="NewStar.png">
          <a:extLst>
            <a:ext uri="{FF2B5EF4-FFF2-40B4-BE49-F238E27FC236}">
              <a16:creationId xmlns:a16="http://schemas.microsoft.com/office/drawing/2014/main" id="{75537A1E-1AD0-492D-B683-4D77CBA0F0C2}"/>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49</xdr:row>
      <xdr:rowOff>84251</xdr:rowOff>
    </xdr:from>
    <xdr:ext cx="0" cy="294543"/>
    <xdr:pic>
      <xdr:nvPicPr>
        <xdr:cNvPr id="23" name="Picture 22" descr="NewStar.png">
          <a:extLst>
            <a:ext uri="{FF2B5EF4-FFF2-40B4-BE49-F238E27FC236}">
              <a16:creationId xmlns:a16="http://schemas.microsoft.com/office/drawing/2014/main" id="{CB38E646-F1A6-434E-9BB1-E2864429AE11}"/>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6</xdr:col>
      <xdr:colOff>350950</xdr:colOff>
      <xdr:row>48</xdr:row>
      <xdr:rowOff>84251</xdr:rowOff>
    </xdr:from>
    <xdr:ext cx="0" cy="294543"/>
    <xdr:pic>
      <xdr:nvPicPr>
        <xdr:cNvPr id="48" name="Picture 47" descr="NewStar.png">
          <a:extLst>
            <a:ext uri="{FF2B5EF4-FFF2-40B4-BE49-F238E27FC236}">
              <a16:creationId xmlns:a16="http://schemas.microsoft.com/office/drawing/2014/main" id="{D114AA1D-7F34-459F-87F0-37E4F84296A7}"/>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48</xdr:row>
      <xdr:rowOff>84251</xdr:rowOff>
    </xdr:from>
    <xdr:ext cx="0" cy="294543"/>
    <xdr:pic>
      <xdr:nvPicPr>
        <xdr:cNvPr id="137" name="Picture 136" descr="NewStar.png">
          <a:extLst>
            <a:ext uri="{FF2B5EF4-FFF2-40B4-BE49-F238E27FC236}">
              <a16:creationId xmlns:a16="http://schemas.microsoft.com/office/drawing/2014/main" id="{F8401E4A-BD29-4414-A8BB-F466F3BE9D6E}"/>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48</xdr:row>
      <xdr:rowOff>84251</xdr:rowOff>
    </xdr:from>
    <xdr:ext cx="0" cy="294543"/>
    <xdr:pic>
      <xdr:nvPicPr>
        <xdr:cNvPr id="138" name="Picture 137" descr="NewStar.png">
          <a:extLst>
            <a:ext uri="{FF2B5EF4-FFF2-40B4-BE49-F238E27FC236}">
              <a16:creationId xmlns:a16="http://schemas.microsoft.com/office/drawing/2014/main" id="{4D99693C-F2E4-4249-BDBF-B461642750DE}"/>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48</xdr:row>
      <xdr:rowOff>84251</xdr:rowOff>
    </xdr:from>
    <xdr:ext cx="0" cy="294543"/>
    <xdr:pic>
      <xdr:nvPicPr>
        <xdr:cNvPr id="139" name="Picture 138" descr="NewStar.png">
          <a:extLst>
            <a:ext uri="{FF2B5EF4-FFF2-40B4-BE49-F238E27FC236}">
              <a16:creationId xmlns:a16="http://schemas.microsoft.com/office/drawing/2014/main" id="{76074988-CC06-49E0-B283-D14420C6AF7B}"/>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48</xdr:row>
      <xdr:rowOff>84251</xdr:rowOff>
    </xdr:from>
    <xdr:ext cx="0" cy="294543"/>
    <xdr:pic>
      <xdr:nvPicPr>
        <xdr:cNvPr id="140" name="Picture 139" descr="NewStar.png">
          <a:extLst>
            <a:ext uri="{FF2B5EF4-FFF2-40B4-BE49-F238E27FC236}">
              <a16:creationId xmlns:a16="http://schemas.microsoft.com/office/drawing/2014/main" id="{35E87515-6F02-482A-B4FA-A82FFF187744}"/>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48</xdr:row>
      <xdr:rowOff>84251</xdr:rowOff>
    </xdr:from>
    <xdr:ext cx="0" cy="294543"/>
    <xdr:pic>
      <xdr:nvPicPr>
        <xdr:cNvPr id="141" name="Picture 140" descr="NewStar.png">
          <a:extLst>
            <a:ext uri="{FF2B5EF4-FFF2-40B4-BE49-F238E27FC236}">
              <a16:creationId xmlns:a16="http://schemas.microsoft.com/office/drawing/2014/main" id="{F4481DB7-3132-4AC3-BE8F-6DE5336BF262}"/>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48</xdr:row>
      <xdr:rowOff>84251</xdr:rowOff>
    </xdr:from>
    <xdr:ext cx="0" cy="294543"/>
    <xdr:pic>
      <xdr:nvPicPr>
        <xdr:cNvPr id="142" name="Picture 141" descr="NewStar.png">
          <a:extLst>
            <a:ext uri="{FF2B5EF4-FFF2-40B4-BE49-F238E27FC236}">
              <a16:creationId xmlns:a16="http://schemas.microsoft.com/office/drawing/2014/main" id="{334DA787-0991-427E-A43D-FA6AE5CA7F74}"/>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48</xdr:row>
      <xdr:rowOff>84251</xdr:rowOff>
    </xdr:from>
    <xdr:ext cx="0" cy="294543"/>
    <xdr:pic>
      <xdr:nvPicPr>
        <xdr:cNvPr id="143" name="Picture 142" descr="NewStar.png">
          <a:extLst>
            <a:ext uri="{FF2B5EF4-FFF2-40B4-BE49-F238E27FC236}">
              <a16:creationId xmlns:a16="http://schemas.microsoft.com/office/drawing/2014/main" id="{BF24EBE7-17B8-4832-93E3-4701F141F813}"/>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48</xdr:row>
      <xdr:rowOff>84251</xdr:rowOff>
    </xdr:from>
    <xdr:ext cx="0" cy="294543"/>
    <xdr:pic>
      <xdr:nvPicPr>
        <xdr:cNvPr id="144" name="Picture 143" descr="NewStar.png">
          <a:extLst>
            <a:ext uri="{FF2B5EF4-FFF2-40B4-BE49-F238E27FC236}">
              <a16:creationId xmlns:a16="http://schemas.microsoft.com/office/drawing/2014/main" id="{F13D853A-F8AF-435C-BC79-FF3A21531760}"/>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48</xdr:row>
      <xdr:rowOff>84251</xdr:rowOff>
    </xdr:from>
    <xdr:ext cx="0" cy="294543"/>
    <xdr:pic>
      <xdr:nvPicPr>
        <xdr:cNvPr id="145" name="Picture 144" descr="NewStar.png">
          <a:extLst>
            <a:ext uri="{FF2B5EF4-FFF2-40B4-BE49-F238E27FC236}">
              <a16:creationId xmlns:a16="http://schemas.microsoft.com/office/drawing/2014/main" id="{68F6925C-B075-4C81-929C-D6A4F0B550AA}"/>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48</xdr:row>
      <xdr:rowOff>84251</xdr:rowOff>
    </xdr:from>
    <xdr:ext cx="0" cy="294543"/>
    <xdr:pic>
      <xdr:nvPicPr>
        <xdr:cNvPr id="146" name="Picture 145" descr="NewStar.png">
          <a:extLst>
            <a:ext uri="{FF2B5EF4-FFF2-40B4-BE49-F238E27FC236}">
              <a16:creationId xmlns:a16="http://schemas.microsoft.com/office/drawing/2014/main" id="{A21843CD-D447-4A26-959D-012C61A6D1A4}"/>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48</xdr:row>
      <xdr:rowOff>84251</xdr:rowOff>
    </xdr:from>
    <xdr:ext cx="0" cy="294543"/>
    <xdr:pic>
      <xdr:nvPicPr>
        <xdr:cNvPr id="147" name="Picture 146" descr="NewStar.png">
          <a:extLst>
            <a:ext uri="{FF2B5EF4-FFF2-40B4-BE49-F238E27FC236}">
              <a16:creationId xmlns:a16="http://schemas.microsoft.com/office/drawing/2014/main" id="{509A2381-0D07-40E4-B119-9B644919AD7F}"/>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48</xdr:row>
      <xdr:rowOff>84251</xdr:rowOff>
    </xdr:from>
    <xdr:ext cx="0" cy="294543"/>
    <xdr:pic>
      <xdr:nvPicPr>
        <xdr:cNvPr id="148" name="Picture 147" descr="NewStar.png">
          <a:extLst>
            <a:ext uri="{FF2B5EF4-FFF2-40B4-BE49-F238E27FC236}">
              <a16:creationId xmlns:a16="http://schemas.microsoft.com/office/drawing/2014/main" id="{958BDC1D-A608-4B9A-B283-7D94EDBFD29A}"/>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5</xdr:col>
      <xdr:colOff>350950</xdr:colOff>
      <xdr:row>48</xdr:row>
      <xdr:rowOff>84251</xdr:rowOff>
    </xdr:from>
    <xdr:ext cx="0" cy="294543"/>
    <xdr:pic>
      <xdr:nvPicPr>
        <xdr:cNvPr id="149" name="Picture 148" descr="NewStar.png">
          <a:extLst>
            <a:ext uri="{FF2B5EF4-FFF2-40B4-BE49-F238E27FC236}">
              <a16:creationId xmlns:a16="http://schemas.microsoft.com/office/drawing/2014/main" id="{C35AF6AB-A3FF-4933-9FFE-912B5C186586}"/>
            </a:ext>
          </a:extLst>
        </xdr:cNvPr>
        <xdr:cNvPicPr>
          <a:picLocks/>
        </xdr:cNvPicPr>
      </xdr:nvPicPr>
      <xdr:blipFill>
        <a:blip xmlns:r="http://schemas.openxmlformats.org/officeDocument/2006/relationships" r:embed="rId1" cstate="print"/>
        <a:stretch>
          <a:fillRect/>
        </a:stretch>
      </xdr:blipFill>
      <xdr:spPr>
        <a:xfrm>
          <a:off x="4973750" y="8840901"/>
          <a:ext cx="0" cy="294543"/>
        </a:xfrm>
        <a:prstGeom prst="rect">
          <a:avLst/>
        </a:prstGeom>
      </xdr:spPr>
    </xdr:pic>
    <xdr:clientData/>
  </xdr:oneCellAnchor>
  <xdr:oneCellAnchor>
    <xdr:from>
      <xdr:col>6</xdr:col>
      <xdr:colOff>350950</xdr:colOff>
      <xdr:row>48</xdr:row>
      <xdr:rowOff>84251</xdr:rowOff>
    </xdr:from>
    <xdr:ext cx="0" cy="294543"/>
    <xdr:pic>
      <xdr:nvPicPr>
        <xdr:cNvPr id="150" name="Picture 149" descr="NewStar.png">
          <a:extLst>
            <a:ext uri="{FF2B5EF4-FFF2-40B4-BE49-F238E27FC236}">
              <a16:creationId xmlns:a16="http://schemas.microsoft.com/office/drawing/2014/main" id="{627F80F2-F86D-44C1-AF30-00F870F20D7B}"/>
            </a:ext>
          </a:extLst>
        </xdr:cNvPr>
        <xdr:cNvPicPr>
          <a:picLocks/>
        </xdr:cNvPicPr>
      </xdr:nvPicPr>
      <xdr:blipFill>
        <a:blip xmlns:r="http://schemas.openxmlformats.org/officeDocument/2006/relationships" r:embed="rId1" cstate="print"/>
        <a:stretch>
          <a:fillRect/>
        </a:stretch>
      </xdr:blipFill>
      <xdr:spPr>
        <a:xfrm>
          <a:off x="5716700" y="8840901"/>
          <a:ext cx="0" cy="294543"/>
        </a:xfrm>
        <a:prstGeom prst="rect">
          <a:avLst/>
        </a:prstGeom>
      </xdr:spPr>
    </xdr:pic>
    <xdr:clientData/>
  </xdr:oneCellAnchor>
  <xdr:oneCellAnchor>
    <xdr:from>
      <xdr:col>6</xdr:col>
      <xdr:colOff>350043</xdr:colOff>
      <xdr:row>48</xdr:row>
      <xdr:rowOff>83344</xdr:rowOff>
    </xdr:from>
    <xdr:ext cx="0" cy="294543"/>
    <xdr:pic>
      <xdr:nvPicPr>
        <xdr:cNvPr id="182" name="Picture 181" descr="NewStar.png">
          <a:extLst>
            <a:ext uri="{FF2B5EF4-FFF2-40B4-BE49-F238E27FC236}">
              <a16:creationId xmlns:a16="http://schemas.microsoft.com/office/drawing/2014/main" id="{84EF0C4C-4AB8-4039-B8FA-5149248FCFBF}"/>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83" name="Picture 182" descr="NewStar.png">
          <a:extLst>
            <a:ext uri="{FF2B5EF4-FFF2-40B4-BE49-F238E27FC236}">
              <a16:creationId xmlns:a16="http://schemas.microsoft.com/office/drawing/2014/main" id="{FE957267-1644-4986-BFAF-6D1E9ED0A87D}"/>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84" name="Picture 183" descr="NewStar.png">
          <a:extLst>
            <a:ext uri="{FF2B5EF4-FFF2-40B4-BE49-F238E27FC236}">
              <a16:creationId xmlns:a16="http://schemas.microsoft.com/office/drawing/2014/main" id="{C9C5CB8C-2CB2-4DE2-8EBA-F86C2F12B9A2}"/>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85" name="Picture 184" descr="NewStar.png">
          <a:extLst>
            <a:ext uri="{FF2B5EF4-FFF2-40B4-BE49-F238E27FC236}">
              <a16:creationId xmlns:a16="http://schemas.microsoft.com/office/drawing/2014/main" id="{F5D8D86A-B7AF-472C-ACC5-057B7FDA260E}"/>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86" name="Picture 185" descr="NewStar.png">
          <a:extLst>
            <a:ext uri="{FF2B5EF4-FFF2-40B4-BE49-F238E27FC236}">
              <a16:creationId xmlns:a16="http://schemas.microsoft.com/office/drawing/2014/main" id="{2EA7B7B4-BCBF-45E1-8B2C-4D58489C5681}"/>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87" name="Picture 186" descr="NewStar.png">
          <a:extLst>
            <a:ext uri="{FF2B5EF4-FFF2-40B4-BE49-F238E27FC236}">
              <a16:creationId xmlns:a16="http://schemas.microsoft.com/office/drawing/2014/main" id="{4F252A9F-3F4D-4E3B-A0C0-E954FB7314D0}"/>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88" name="Picture 187" descr="NewStar.png">
          <a:extLst>
            <a:ext uri="{FF2B5EF4-FFF2-40B4-BE49-F238E27FC236}">
              <a16:creationId xmlns:a16="http://schemas.microsoft.com/office/drawing/2014/main" id="{11116969-36F6-48ED-BB28-346074919181}"/>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89" name="Picture 188" descr="NewStar.png">
          <a:extLst>
            <a:ext uri="{FF2B5EF4-FFF2-40B4-BE49-F238E27FC236}">
              <a16:creationId xmlns:a16="http://schemas.microsoft.com/office/drawing/2014/main" id="{C58A0BA7-415D-4738-879C-8B4B2A2E23E1}"/>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90" name="Picture 189" descr="NewStar.png">
          <a:extLst>
            <a:ext uri="{FF2B5EF4-FFF2-40B4-BE49-F238E27FC236}">
              <a16:creationId xmlns:a16="http://schemas.microsoft.com/office/drawing/2014/main" id="{DC12CFEA-A019-4ECB-9105-578CE4AD9A5A}"/>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91" name="Picture 190" descr="NewStar.png">
          <a:extLst>
            <a:ext uri="{FF2B5EF4-FFF2-40B4-BE49-F238E27FC236}">
              <a16:creationId xmlns:a16="http://schemas.microsoft.com/office/drawing/2014/main" id="{59233F62-A223-4704-8C01-F3F935DCE45F}"/>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92" name="Picture 191" descr="NewStar.png">
          <a:extLst>
            <a:ext uri="{FF2B5EF4-FFF2-40B4-BE49-F238E27FC236}">
              <a16:creationId xmlns:a16="http://schemas.microsoft.com/office/drawing/2014/main" id="{75D40375-F93E-41A8-8B5B-80228C8C8A0C}"/>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93" name="Picture 192" descr="NewStar.png">
          <a:extLst>
            <a:ext uri="{FF2B5EF4-FFF2-40B4-BE49-F238E27FC236}">
              <a16:creationId xmlns:a16="http://schemas.microsoft.com/office/drawing/2014/main" id="{6F806DC5-36FB-4BFE-913A-096EBF7973AF}"/>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94" name="Picture 193" descr="NewStar.png">
          <a:extLst>
            <a:ext uri="{FF2B5EF4-FFF2-40B4-BE49-F238E27FC236}">
              <a16:creationId xmlns:a16="http://schemas.microsoft.com/office/drawing/2014/main" id="{945F5AB1-7993-4E26-A3AB-726AF676E12F}"/>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5</xdr:col>
      <xdr:colOff>350043</xdr:colOff>
      <xdr:row>48</xdr:row>
      <xdr:rowOff>83344</xdr:rowOff>
    </xdr:from>
    <xdr:ext cx="0" cy="294543"/>
    <xdr:pic>
      <xdr:nvPicPr>
        <xdr:cNvPr id="195" name="Picture 194" descr="NewStar.png">
          <a:extLst>
            <a:ext uri="{FF2B5EF4-FFF2-40B4-BE49-F238E27FC236}">
              <a16:creationId xmlns:a16="http://schemas.microsoft.com/office/drawing/2014/main" id="{19BA3CF4-DA4C-41D9-8C18-6579731423D5}"/>
            </a:ext>
          </a:extLst>
        </xdr:cNvPr>
        <xdr:cNvPicPr>
          <a:picLocks/>
        </xdr:cNvPicPr>
      </xdr:nvPicPr>
      <xdr:blipFill>
        <a:blip xmlns:r="http://schemas.openxmlformats.org/officeDocument/2006/relationships" r:embed="rId1" cstate="print"/>
        <a:stretch>
          <a:fillRect/>
        </a:stretch>
      </xdr:blipFill>
      <xdr:spPr>
        <a:xfrm>
          <a:off x="4915693" y="8716169"/>
          <a:ext cx="0" cy="294543"/>
        </a:xfrm>
        <a:prstGeom prst="rect">
          <a:avLst/>
        </a:prstGeom>
      </xdr:spPr>
    </xdr:pic>
    <xdr:clientData/>
  </xdr:oneCellAnchor>
  <xdr:oneCellAnchor>
    <xdr:from>
      <xdr:col>6</xdr:col>
      <xdr:colOff>350043</xdr:colOff>
      <xdr:row>48</xdr:row>
      <xdr:rowOff>83344</xdr:rowOff>
    </xdr:from>
    <xdr:ext cx="0" cy="294543"/>
    <xdr:pic>
      <xdr:nvPicPr>
        <xdr:cNvPr id="196" name="Picture 195" descr="NewStar.png">
          <a:extLst>
            <a:ext uri="{FF2B5EF4-FFF2-40B4-BE49-F238E27FC236}">
              <a16:creationId xmlns:a16="http://schemas.microsoft.com/office/drawing/2014/main" id="{12C15008-F520-404E-8334-F3628CD5048C}"/>
            </a:ext>
          </a:extLst>
        </xdr:cNvPr>
        <xdr:cNvPicPr>
          <a:picLocks/>
        </xdr:cNvPicPr>
      </xdr:nvPicPr>
      <xdr:blipFill>
        <a:blip xmlns:r="http://schemas.openxmlformats.org/officeDocument/2006/relationships" r:embed="rId1" cstate="print"/>
        <a:stretch>
          <a:fillRect/>
        </a:stretch>
      </xdr:blipFill>
      <xdr:spPr>
        <a:xfrm>
          <a:off x="5649118" y="8716169"/>
          <a:ext cx="0" cy="294543"/>
        </a:xfrm>
        <a:prstGeom prst="rect">
          <a:avLst/>
        </a:prstGeom>
      </xdr:spPr>
    </xdr:pic>
    <xdr:clientData/>
  </xdr:oneCellAnchor>
  <xdr:oneCellAnchor>
    <xdr:from>
      <xdr:col>6</xdr:col>
      <xdr:colOff>350043</xdr:colOff>
      <xdr:row>48</xdr:row>
      <xdr:rowOff>83344</xdr:rowOff>
    </xdr:from>
    <xdr:ext cx="0" cy="294543"/>
    <xdr:pic>
      <xdr:nvPicPr>
        <xdr:cNvPr id="151" name="Picture 150" descr="NewStar.png">
          <a:extLst>
            <a:ext uri="{FF2B5EF4-FFF2-40B4-BE49-F238E27FC236}">
              <a16:creationId xmlns:a16="http://schemas.microsoft.com/office/drawing/2014/main" id="{84DB630C-0C7C-4418-B105-F4EDCD9DDC48}"/>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5</xdr:col>
      <xdr:colOff>350043</xdr:colOff>
      <xdr:row>48</xdr:row>
      <xdr:rowOff>83344</xdr:rowOff>
    </xdr:from>
    <xdr:ext cx="0" cy="294543"/>
    <xdr:pic>
      <xdr:nvPicPr>
        <xdr:cNvPr id="152" name="Picture 151" descr="NewStar.png">
          <a:extLst>
            <a:ext uri="{FF2B5EF4-FFF2-40B4-BE49-F238E27FC236}">
              <a16:creationId xmlns:a16="http://schemas.microsoft.com/office/drawing/2014/main" id="{06304982-2211-4B7D-9ECC-D425E1F1507A}"/>
            </a:ext>
          </a:extLst>
        </xdr:cNvPr>
        <xdr:cNvPicPr>
          <a:picLocks/>
        </xdr:cNvPicPr>
      </xdr:nvPicPr>
      <xdr:blipFill>
        <a:blip xmlns:r="http://schemas.openxmlformats.org/officeDocument/2006/relationships" r:embed="rId1" cstate="print"/>
        <a:stretch>
          <a:fillRect/>
        </a:stretch>
      </xdr:blipFill>
      <xdr:spPr>
        <a:xfrm>
          <a:off x="5518943" y="8827294"/>
          <a:ext cx="0" cy="294543"/>
        </a:xfrm>
        <a:prstGeom prst="rect">
          <a:avLst/>
        </a:prstGeom>
      </xdr:spPr>
    </xdr:pic>
    <xdr:clientData/>
  </xdr:oneCellAnchor>
  <xdr:oneCellAnchor>
    <xdr:from>
      <xdr:col>6</xdr:col>
      <xdr:colOff>350043</xdr:colOff>
      <xdr:row>48</xdr:row>
      <xdr:rowOff>83344</xdr:rowOff>
    </xdr:from>
    <xdr:ext cx="0" cy="294543"/>
    <xdr:pic>
      <xdr:nvPicPr>
        <xdr:cNvPr id="169" name="Picture 168" descr="NewStar.png">
          <a:extLst>
            <a:ext uri="{FF2B5EF4-FFF2-40B4-BE49-F238E27FC236}">
              <a16:creationId xmlns:a16="http://schemas.microsoft.com/office/drawing/2014/main" id="{6398DC12-6051-4DF8-AC49-45344306AA1C}"/>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5</xdr:col>
      <xdr:colOff>350043</xdr:colOff>
      <xdr:row>48</xdr:row>
      <xdr:rowOff>83344</xdr:rowOff>
    </xdr:from>
    <xdr:ext cx="0" cy="294543"/>
    <xdr:pic>
      <xdr:nvPicPr>
        <xdr:cNvPr id="170" name="Picture 169" descr="NewStar.png">
          <a:extLst>
            <a:ext uri="{FF2B5EF4-FFF2-40B4-BE49-F238E27FC236}">
              <a16:creationId xmlns:a16="http://schemas.microsoft.com/office/drawing/2014/main" id="{721E4AD2-D1AD-4228-B985-BAE1170CA0A6}"/>
            </a:ext>
          </a:extLst>
        </xdr:cNvPr>
        <xdr:cNvPicPr>
          <a:picLocks/>
        </xdr:cNvPicPr>
      </xdr:nvPicPr>
      <xdr:blipFill>
        <a:blip xmlns:r="http://schemas.openxmlformats.org/officeDocument/2006/relationships" r:embed="rId1" cstate="print"/>
        <a:stretch>
          <a:fillRect/>
        </a:stretch>
      </xdr:blipFill>
      <xdr:spPr>
        <a:xfrm>
          <a:off x="5518943" y="8827294"/>
          <a:ext cx="0" cy="294543"/>
        </a:xfrm>
        <a:prstGeom prst="rect">
          <a:avLst/>
        </a:prstGeom>
      </xdr:spPr>
    </xdr:pic>
    <xdr:clientData/>
  </xdr:oneCellAnchor>
  <xdr:oneCellAnchor>
    <xdr:from>
      <xdr:col>6</xdr:col>
      <xdr:colOff>350043</xdr:colOff>
      <xdr:row>48</xdr:row>
      <xdr:rowOff>83344</xdr:rowOff>
    </xdr:from>
    <xdr:ext cx="0" cy="294543"/>
    <xdr:pic>
      <xdr:nvPicPr>
        <xdr:cNvPr id="171" name="Picture 170" descr="NewStar.png">
          <a:extLst>
            <a:ext uri="{FF2B5EF4-FFF2-40B4-BE49-F238E27FC236}">
              <a16:creationId xmlns:a16="http://schemas.microsoft.com/office/drawing/2014/main" id="{097DF5B3-A982-4684-A05B-B3169390355D}"/>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5</xdr:col>
      <xdr:colOff>350043</xdr:colOff>
      <xdr:row>48</xdr:row>
      <xdr:rowOff>83344</xdr:rowOff>
    </xdr:from>
    <xdr:ext cx="0" cy="294543"/>
    <xdr:pic>
      <xdr:nvPicPr>
        <xdr:cNvPr id="172" name="Picture 171" descr="NewStar.png">
          <a:extLst>
            <a:ext uri="{FF2B5EF4-FFF2-40B4-BE49-F238E27FC236}">
              <a16:creationId xmlns:a16="http://schemas.microsoft.com/office/drawing/2014/main" id="{46CB8FA0-D375-4505-8532-E2032E83436D}"/>
            </a:ext>
          </a:extLst>
        </xdr:cNvPr>
        <xdr:cNvPicPr>
          <a:picLocks/>
        </xdr:cNvPicPr>
      </xdr:nvPicPr>
      <xdr:blipFill>
        <a:blip xmlns:r="http://schemas.openxmlformats.org/officeDocument/2006/relationships" r:embed="rId1" cstate="print"/>
        <a:stretch>
          <a:fillRect/>
        </a:stretch>
      </xdr:blipFill>
      <xdr:spPr>
        <a:xfrm>
          <a:off x="5518943" y="8827294"/>
          <a:ext cx="0" cy="294543"/>
        </a:xfrm>
        <a:prstGeom prst="rect">
          <a:avLst/>
        </a:prstGeom>
      </xdr:spPr>
    </xdr:pic>
    <xdr:clientData/>
  </xdr:oneCellAnchor>
  <xdr:oneCellAnchor>
    <xdr:from>
      <xdr:col>6</xdr:col>
      <xdr:colOff>350043</xdr:colOff>
      <xdr:row>48</xdr:row>
      <xdr:rowOff>83344</xdr:rowOff>
    </xdr:from>
    <xdr:ext cx="0" cy="294543"/>
    <xdr:pic>
      <xdr:nvPicPr>
        <xdr:cNvPr id="173" name="Picture 172" descr="NewStar.png">
          <a:extLst>
            <a:ext uri="{FF2B5EF4-FFF2-40B4-BE49-F238E27FC236}">
              <a16:creationId xmlns:a16="http://schemas.microsoft.com/office/drawing/2014/main" id="{3CDCAB69-2039-4E7E-9770-8F1F261D39F6}"/>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5</xdr:col>
      <xdr:colOff>350043</xdr:colOff>
      <xdr:row>48</xdr:row>
      <xdr:rowOff>83344</xdr:rowOff>
    </xdr:from>
    <xdr:ext cx="0" cy="294543"/>
    <xdr:pic>
      <xdr:nvPicPr>
        <xdr:cNvPr id="174" name="Picture 173" descr="NewStar.png">
          <a:extLst>
            <a:ext uri="{FF2B5EF4-FFF2-40B4-BE49-F238E27FC236}">
              <a16:creationId xmlns:a16="http://schemas.microsoft.com/office/drawing/2014/main" id="{0AFB8109-03A9-420F-86A3-6018D2FD31FA}"/>
            </a:ext>
          </a:extLst>
        </xdr:cNvPr>
        <xdr:cNvPicPr>
          <a:picLocks/>
        </xdr:cNvPicPr>
      </xdr:nvPicPr>
      <xdr:blipFill>
        <a:blip xmlns:r="http://schemas.openxmlformats.org/officeDocument/2006/relationships" r:embed="rId1" cstate="print"/>
        <a:stretch>
          <a:fillRect/>
        </a:stretch>
      </xdr:blipFill>
      <xdr:spPr>
        <a:xfrm>
          <a:off x="5518943" y="8827294"/>
          <a:ext cx="0" cy="294543"/>
        </a:xfrm>
        <a:prstGeom prst="rect">
          <a:avLst/>
        </a:prstGeom>
      </xdr:spPr>
    </xdr:pic>
    <xdr:clientData/>
  </xdr:oneCellAnchor>
  <xdr:oneCellAnchor>
    <xdr:from>
      <xdr:col>6</xdr:col>
      <xdr:colOff>350043</xdr:colOff>
      <xdr:row>48</xdr:row>
      <xdr:rowOff>83344</xdr:rowOff>
    </xdr:from>
    <xdr:ext cx="0" cy="294543"/>
    <xdr:pic>
      <xdr:nvPicPr>
        <xdr:cNvPr id="175" name="Picture 174" descr="NewStar.png">
          <a:extLst>
            <a:ext uri="{FF2B5EF4-FFF2-40B4-BE49-F238E27FC236}">
              <a16:creationId xmlns:a16="http://schemas.microsoft.com/office/drawing/2014/main" id="{860A6A0B-37A1-4F5A-91FD-1668A2B1B04B}"/>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5</xdr:col>
      <xdr:colOff>350043</xdr:colOff>
      <xdr:row>48</xdr:row>
      <xdr:rowOff>83344</xdr:rowOff>
    </xdr:from>
    <xdr:ext cx="0" cy="294543"/>
    <xdr:pic>
      <xdr:nvPicPr>
        <xdr:cNvPr id="176" name="Picture 175" descr="NewStar.png">
          <a:extLst>
            <a:ext uri="{FF2B5EF4-FFF2-40B4-BE49-F238E27FC236}">
              <a16:creationId xmlns:a16="http://schemas.microsoft.com/office/drawing/2014/main" id="{62E23611-2924-44EB-BCFE-E3CAF880C9E7}"/>
            </a:ext>
          </a:extLst>
        </xdr:cNvPr>
        <xdr:cNvPicPr>
          <a:picLocks/>
        </xdr:cNvPicPr>
      </xdr:nvPicPr>
      <xdr:blipFill>
        <a:blip xmlns:r="http://schemas.openxmlformats.org/officeDocument/2006/relationships" r:embed="rId1" cstate="print"/>
        <a:stretch>
          <a:fillRect/>
        </a:stretch>
      </xdr:blipFill>
      <xdr:spPr>
        <a:xfrm>
          <a:off x="5518943" y="8827294"/>
          <a:ext cx="0" cy="294543"/>
        </a:xfrm>
        <a:prstGeom prst="rect">
          <a:avLst/>
        </a:prstGeom>
      </xdr:spPr>
    </xdr:pic>
    <xdr:clientData/>
  </xdr:oneCellAnchor>
  <xdr:oneCellAnchor>
    <xdr:from>
      <xdr:col>6</xdr:col>
      <xdr:colOff>350043</xdr:colOff>
      <xdr:row>48</xdr:row>
      <xdr:rowOff>83344</xdr:rowOff>
    </xdr:from>
    <xdr:ext cx="0" cy="294543"/>
    <xdr:pic>
      <xdr:nvPicPr>
        <xdr:cNvPr id="177" name="Picture 176" descr="NewStar.png">
          <a:extLst>
            <a:ext uri="{FF2B5EF4-FFF2-40B4-BE49-F238E27FC236}">
              <a16:creationId xmlns:a16="http://schemas.microsoft.com/office/drawing/2014/main" id="{4C027645-4ED7-44AD-9F8C-D7E2224FABC0}"/>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5</xdr:col>
      <xdr:colOff>350043</xdr:colOff>
      <xdr:row>48</xdr:row>
      <xdr:rowOff>83344</xdr:rowOff>
    </xdr:from>
    <xdr:ext cx="0" cy="294543"/>
    <xdr:pic>
      <xdr:nvPicPr>
        <xdr:cNvPr id="178" name="Picture 177" descr="NewStar.png">
          <a:extLst>
            <a:ext uri="{FF2B5EF4-FFF2-40B4-BE49-F238E27FC236}">
              <a16:creationId xmlns:a16="http://schemas.microsoft.com/office/drawing/2014/main" id="{5387A944-E32A-4AD4-B2F7-C4D8B9CB0A0A}"/>
            </a:ext>
          </a:extLst>
        </xdr:cNvPr>
        <xdr:cNvPicPr>
          <a:picLocks/>
        </xdr:cNvPicPr>
      </xdr:nvPicPr>
      <xdr:blipFill>
        <a:blip xmlns:r="http://schemas.openxmlformats.org/officeDocument/2006/relationships" r:embed="rId1" cstate="print"/>
        <a:stretch>
          <a:fillRect/>
        </a:stretch>
      </xdr:blipFill>
      <xdr:spPr>
        <a:xfrm>
          <a:off x="5518943" y="8827294"/>
          <a:ext cx="0" cy="294543"/>
        </a:xfrm>
        <a:prstGeom prst="rect">
          <a:avLst/>
        </a:prstGeom>
      </xdr:spPr>
    </xdr:pic>
    <xdr:clientData/>
  </xdr:oneCellAnchor>
  <xdr:oneCellAnchor>
    <xdr:from>
      <xdr:col>6</xdr:col>
      <xdr:colOff>350043</xdr:colOff>
      <xdr:row>48</xdr:row>
      <xdr:rowOff>83344</xdr:rowOff>
    </xdr:from>
    <xdr:ext cx="0" cy="294543"/>
    <xdr:pic>
      <xdr:nvPicPr>
        <xdr:cNvPr id="179" name="Picture 178" descr="NewStar.png">
          <a:extLst>
            <a:ext uri="{FF2B5EF4-FFF2-40B4-BE49-F238E27FC236}">
              <a16:creationId xmlns:a16="http://schemas.microsoft.com/office/drawing/2014/main" id="{CA7AD55B-ADFC-43F7-9D3E-8F0F0CFC5CB6}"/>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5</xdr:col>
      <xdr:colOff>350043</xdr:colOff>
      <xdr:row>48</xdr:row>
      <xdr:rowOff>83344</xdr:rowOff>
    </xdr:from>
    <xdr:ext cx="0" cy="294543"/>
    <xdr:pic>
      <xdr:nvPicPr>
        <xdr:cNvPr id="180" name="Picture 179" descr="NewStar.png">
          <a:extLst>
            <a:ext uri="{FF2B5EF4-FFF2-40B4-BE49-F238E27FC236}">
              <a16:creationId xmlns:a16="http://schemas.microsoft.com/office/drawing/2014/main" id="{98001D87-5B40-423E-AD37-6926C0F79D58}"/>
            </a:ext>
          </a:extLst>
        </xdr:cNvPr>
        <xdr:cNvPicPr>
          <a:picLocks/>
        </xdr:cNvPicPr>
      </xdr:nvPicPr>
      <xdr:blipFill>
        <a:blip xmlns:r="http://schemas.openxmlformats.org/officeDocument/2006/relationships" r:embed="rId1" cstate="print"/>
        <a:stretch>
          <a:fillRect/>
        </a:stretch>
      </xdr:blipFill>
      <xdr:spPr>
        <a:xfrm>
          <a:off x="5518943" y="8827294"/>
          <a:ext cx="0" cy="294543"/>
        </a:xfrm>
        <a:prstGeom prst="rect">
          <a:avLst/>
        </a:prstGeom>
      </xdr:spPr>
    </xdr:pic>
    <xdr:clientData/>
  </xdr:oneCellAnchor>
  <xdr:oneCellAnchor>
    <xdr:from>
      <xdr:col>6</xdr:col>
      <xdr:colOff>350043</xdr:colOff>
      <xdr:row>48</xdr:row>
      <xdr:rowOff>83344</xdr:rowOff>
    </xdr:from>
    <xdr:ext cx="0" cy="294543"/>
    <xdr:pic>
      <xdr:nvPicPr>
        <xdr:cNvPr id="181" name="Picture 180" descr="NewStar.png">
          <a:extLst>
            <a:ext uri="{FF2B5EF4-FFF2-40B4-BE49-F238E27FC236}">
              <a16:creationId xmlns:a16="http://schemas.microsoft.com/office/drawing/2014/main" id="{15EDDC8B-3B0E-41AB-B7AC-C7470FCEF494}"/>
            </a:ext>
          </a:extLst>
        </xdr:cNvPr>
        <xdr:cNvPicPr>
          <a:picLocks/>
        </xdr:cNvPicPr>
      </xdr:nvPicPr>
      <xdr:blipFill>
        <a:blip xmlns:r="http://schemas.openxmlformats.org/officeDocument/2006/relationships" r:embed="rId1" cstate="print"/>
        <a:stretch>
          <a:fillRect/>
        </a:stretch>
      </xdr:blipFill>
      <xdr:spPr>
        <a:xfrm>
          <a:off x="6249193" y="8827294"/>
          <a:ext cx="0" cy="294543"/>
        </a:xfrm>
        <a:prstGeom prst="rect">
          <a:avLst/>
        </a:prstGeom>
      </xdr:spPr>
    </xdr:pic>
    <xdr:clientData/>
  </xdr:oneCellAnchor>
  <xdr:oneCellAnchor>
    <xdr:from>
      <xdr:col>6</xdr:col>
      <xdr:colOff>350043</xdr:colOff>
      <xdr:row>48</xdr:row>
      <xdr:rowOff>83344</xdr:rowOff>
    </xdr:from>
    <xdr:ext cx="0" cy="294543"/>
    <xdr:pic>
      <xdr:nvPicPr>
        <xdr:cNvPr id="197" name="Picture 196" descr="NewStar.png">
          <a:extLst>
            <a:ext uri="{FF2B5EF4-FFF2-40B4-BE49-F238E27FC236}">
              <a16:creationId xmlns:a16="http://schemas.microsoft.com/office/drawing/2014/main" id="{8B6F86F6-D6C6-409B-A29D-775458361AB0}"/>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198" name="Picture 197" descr="NewStar.png">
          <a:extLst>
            <a:ext uri="{FF2B5EF4-FFF2-40B4-BE49-F238E27FC236}">
              <a16:creationId xmlns:a16="http://schemas.microsoft.com/office/drawing/2014/main" id="{BAC2594A-3DE0-4116-B34B-C11495C4B55A}"/>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199" name="Picture 198" descr="NewStar.png">
          <a:extLst>
            <a:ext uri="{FF2B5EF4-FFF2-40B4-BE49-F238E27FC236}">
              <a16:creationId xmlns:a16="http://schemas.microsoft.com/office/drawing/2014/main" id="{783C6991-16DC-4C0C-B387-A6F0B7E5625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00" name="Picture 199" descr="NewStar.png">
          <a:extLst>
            <a:ext uri="{FF2B5EF4-FFF2-40B4-BE49-F238E27FC236}">
              <a16:creationId xmlns:a16="http://schemas.microsoft.com/office/drawing/2014/main" id="{985AEBB0-4568-4A12-9C95-691BA1C98D72}"/>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01" name="Picture 200" descr="NewStar.png">
          <a:extLst>
            <a:ext uri="{FF2B5EF4-FFF2-40B4-BE49-F238E27FC236}">
              <a16:creationId xmlns:a16="http://schemas.microsoft.com/office/drawing/2014/main" id="{D644692B-8D4B-4845-90CE-681DDB7C0F54}"/>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02" name="Picture 201" descr="NewStar.png">
          <a:extLst>
            <a:ext uri="{FF2B5EF4-FFF2-40B4-BE49-F238E27FC236}">
              <a16:creationId xmlns:a16="http://schemas.microsoft.com/office/drawing/2014/main" id="{5C74D6ED-1249-4D7A-A1A7-956DFC04BB5E}"/>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03" name="Picture 202" descr="NewStar.png">
          <a:extLst>
            <a:ext uri="{FF2B5EF4-FFF2-40B4-BE49-F238E27FC236}">
              <a16:creationId xmlns:a16="http://schemas.microsoft.com/office/drawing/2014/main" id="{C3D4FBC9-3B20-4C10-AB4A-D27061640524}"/>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04" name="Picture 203" descr="NewStar.png">
          <a:extLst>
            <a:ext uri="{FF2B5EF4-FFF2-40B4-BE49-F238E27FC236}">
              <a16:creationId xmlns:a16="http://schemas.microsoft.com/office/drawing/2014/main" id="{83B6124A-F1D5-43A4-A203-3170FE0270F4}"/>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05" name="Picture 204" descr="NewStar.png">
          <a:extLst>
            <a:ext uri="{FF2B5EF4-FFF2-40B4-BE49-F238E27FC236}">
              <a16:creationId xmlns:a16="http://schemas.microsoft.com/office/drawing/2014/main" id="{AB26CD5A-00E8-4348-A9CA-570BB183CF07}"/>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06" name="Picture 205" descr="NewStar.png">
          <a:extLst>
            <a:ext uri="{FF2B5EF4-FFF2-40B4-BE49-F238E27FC236}">
              <a16:creationId xmlns:a16="http://schemas.microsoft.com/office/drawing/2014/main" id="{8B0847DD-8B75-4BEF-BCF5-72C0AE8000A9}"/>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07" name="Picture 206" descr="NewStar.png">
          <a:extLst>
            <a:ext uri="{FF2B5EF4-FFF2-40B4-BE49-F238E27FC236}">
              <a16:creationId xmlns:a16="http://schemas.microsoft.com/office/drawing/2014/main" id="{09E77BCD-C699-498C-8787-C66E9D9E3482}"/>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08" name="Picture 207" descr="NewStar.png">
          <a:extLst>
            <a:ext uri="{FF2B5EF4-FFF2-40B4-BE49-F238E27FC236}">
              <a16:creationId xmlns:a16="http://schemas.microsoft.com/office/drawing/2014/main" id="{C42E6141-B899-4BC7-AD60-F7A9B5BE8085}"/>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09" name="Picture 208" descr="NewStar.png">
          <a:extLst>
            <a:ext uri="{FF2B5EF4-FFF2-40B4-BE49-F238E27FC236}">
              <a16:creationId xmlns:a16="http://schemas.microsoft.com/office/drawing/2014/main" id="{01C9C55C-C9F7-449A-959D-166A1B5C9B7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10" name="Picture 209" descr="NewStar.png">
          <a:extLst>
            <a:ext uri="{FF2B5EF4-FFF2-40B4-BE49-F238E27FC236}">
              <a16:creationId xmlns:a16="http://schemas.microsoft.com/office/drawing/2014/main" id="{82D95CB9-E3CC-4848-A123-C824D51719E6}"/>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11" name="Picture 210" descr="NewStar.png">
          <a:extLst>
            <a:ext uri="{FF2B5EF4-FFF2-40B4-BE49-F238E27FC236}">
              <a16:creationId xmlns:a16="http://schemas.microsoft.com/office/drawing/2014/main" id="{3D63F3EE-37EC-4A02-B16C-4B763752868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6</xdr:col>
      <xdr:colOff>350043</xdr:colOff>
      <xdr:row>48</xdr:row>
      <xdr:rowOff>83344</xdr:rowOff>
    </xdr:from>
    <xdr:ext cx="0" cy="294543"/>
    <xdr:pic>
      <xdr:nvPicPr>
        <xdr:cNvPr id="212" name="Picture 211" descr="NewStar.png">
          <a:extLst>
            <a:ext uri="{FF2B5EF4-FFF2-40B4-BE49-F238E27FC236}">
              <a16:creationId xmlns:a16="http://schemas.microsoft.com/office/drawing/2014/main" id="{C42E7913-CEC4-4503-BD59-0ADBF1CDACA1}"/>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13" name="Picture 212" descr="NewStar.png">
          <a:extLst>
            <a:ext uri="{FF2B5EF4-FFF2-40B4-BE49-F238E27FC236}">
              <a16:creationId xmlns:a16="http://schemas.microsoft.com/office/drawing/2014/main" id="{EEEAFDC1-E8E4-4827-8940-55095D2B20E4}"/>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14" name="Picture 213" descr="NewStar.png">
          <a:extLst>
            <a:ext uri="{FF2B5EF4-FFF2-40B4-BE49-F238E27FC236}">
              <a16:creationId xmlns:a16="http://schemas.microsoft.com/office/drawing/2014/main" id="{3A046FBC-3BEC-4888-8E19-411A2FBC2D59}"/>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15" name="Picture 214" descr="NewStar.png">
          <a:extLst>
            <a:ext uri="{FF2B5EF4-FFF2-40B4-BE49-F238E27FC236}">
              <a16:creationId xmlns:a16="http://schemas.microsoft.com/office/drawing/2014/main" id="{0382EEBA-E207-4435-BDF0-6DFE44D0E4BF}"/>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16" name="Picture 215" descr="NewStar.png">
          <a:extLst>
            <a:ext uri="{FF2B5EF4-FFF2-40B4-BE49-F238E27FC236}">
              <a16:creationId xmlns:a16="http://schemas.microsoft.com/office/drawing/2014/main" id="{59FB1CF3-0DB4-41DC-AF22-9E84609A3F90}"/>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17" name="Picture 216" descr="NewStar.png">
          <a:extLst>
            <a:ext uri="{FF2B5EF4-FFF2-40B4-BE49-F238E27FC236}">
              <a16:creationId xmlns:a16="http://schemas.microsoft.com/office/drawing/2014/main" id="{7D6FBE8D-1085-40B3-8F13-E0E63E10AE96}"/>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18" name="Picture 217" descr="NewStar.png">
          <a:extLst>
            <a:ext uri="{FF2B5EF4-FFF2-40B4-BE49-F238E27FC236}">
              <a16:creationId xmlns:a16="http://schemas.microsoft.com/office/drawing/2014/main" id="{06875961-72E2-4F59-AA76-0A9B2CBC29E2}"/>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19" name="Picture 218" descr="NewStar.png">
          <a:extLst>
            <a:ext uri="{FF2B5EF4-FFF2-40B4-BE49-F238E27FC236}">
              <a16:creationId xmlns:a16="http://schemas.microsoft.com/office/drawing/2014/main" id="{69DD00A1-DB43-4651-9364-F79A5C0FF762}"/>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20" name="Picture 219" descr="NewStar.png">
          <a:extLst>
            <a:ext uri="{FF2B5EF4-FFF2-40B4-BE49-F238E27FC236}">
              <a16:creationId xmlns:a16="http://schemas.microsoft.com/office/drawing/2014/main" id="{3E671AB8-8D36-4F10-BF3E-1F85CC52211E}"/>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21" name="Picture 220" descr="NewStar.png">
          <a:extLst>
            <a:ext uri="{FF2B5EF4-FFF2-40B4-BE49-F238E27FC236}">
              <a16:creationId xmlns:a16="http://schemas.microsoft.com/office/drawing/2014/main" id="{5722C084-1389-4D56-BE98-DCA3149AC3ED}"/>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22" name="Picture 221" descr="NewStar.png">
          <a:extLst>
            <a:ext uri="{FF2B5EF4-FFF2-40B4-BE49-F238E27FC236}">
              <a16:creationId xmlns:a16="http://schemas.microsoft.com/office/drawing/2014/main" id="{044F6EC3-F8F3-4E01-9D78-3B80489B23FE}"/>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23" name="Picture 222" descr="NewStar.png">
          <a:extLst>
            <a:ext uri="{FF2B5EF4-FFF2-40B4-BE49-F238E27FC236}">
              <a16:creationId xmlns:a16="http://schemas.microsoft.com/office/drawing/2014/main" id="{63B38CED-29FF-4D2B-AE3B-A7997B2BD9AC}"/>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24" name="Picture 223" descr="NewStar.png">
          <a:extLst>
            <a:ext uri="{FF2B5EF4-FFF2-40B4-BE49-F238E27FC236}">
              <a16:creationId xmlns:a16="http://schemas.microsoft.com/office/drawing/2014/main" id="{4EFD583C-D6EA-4D15-B434-DCC4C27C4338}"/>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225" name="Picture 224" descr="NewStar.png">
          <a:extLst>
            <a:ext uri="{FF2B5EF4-FFF2-40B4-BE49-F238E27FC236}">
              <a16:creationId xmlns:a16="http://schemas.microsoft.com/office/drawing/2014/main" id="{8DD4FB53-1592-4A25-B6FE-FF4FFF665B9C}"/>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226" name="Picture 225" descr="NewStar.png">
          <a:extLst>
            <a:ext uri="{FF2B5EF4-FFF2-40B4-BE49-F238E27FC236}">
              <a16:creationId xmlns:a16="http://schemas.microsoft.com/office/drawing/2014/main" id="{A4702A20-32A5-4505-8FA5-F31AC9BAA3E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6</xdr:col>
      <xdr:colOff>350043</xdr:colOff>
      <xdr:row>48</xdr:row>
      <xdr:rowOff>83344</xdr:rowOff>
    </xdr:from>
    <xdr:ext cx="0" cy="294543"/>
    <xdr:pic>
      <xdr:nvPicPr>
        <xdr:cNvPr id="227" name="Picture 226" descr="NewStar.png">
          <a:extLst>
            <a:ext uri="{FF2B5EF4-FFF2-40B4-BE49-F238E27FC236}">
              <a16:creationId xmlns:a16="http://schemas.microsoft.com/office/drawing/2014/main" id="{793C047F-8D39-42D2-B927-36B3B5FCFD37}"/>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28" name="Picture 227" descr="NewStar.png">
          <a:extLst>
            <a:ext uri="{FF2B5EF4-FFF2-40B4-BE49-F238E27FC236}">
              <a16:creationId xmlns:a16="http://schemas.microsoft.com/office/drawing/2014/main" id="{4629F6A4-3D76-4E84-939C-5F99130CCBCF}"/>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29" name="Picture 228" descr="NewStar.png">
          <a:extLst>
            <a:ext uri="{FF2B5EF4-FFF2-40B4-BE49-F238E27FC236}">
              <a16:creationId xmlns:a16="http://schemas.microsoft.com/office/drawing/2014/main" id="{07E64132-D0EA-4407-8BCC-3233102DA4E7}"/>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30" name="Picture 229" descr="NewStar.png">
          <a:extLst>
            <a:ext uri="{FF2B5EF4-FFF2-40B4-BE49-F238E27FC236}">
              <a16:creationId xmlns:a16="http://schemas.microsoft.com/office/drawing/2014/main" id="{EF55AC9F-E362-4F50-8166-546D964CD463}"/>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31" name="Picture 230" descr="NewStar.png">
          <a:extLst>
            <a:ext uri="{FF2B5EF4-FFF2-40B4-BE49-F238E27FC236}">
              <a16:creationId xmlns:a16="http://schemas.microsoft.com/office/drawing/2014/main" id="{39408ECC-C56E-4CE9-A4E3-3AE15E9420C6}"/>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32" name="Picture 231" descr="NewStar.png">
          <a:extLst>
            <a:ext uri="{FF2B5EF4-FFF2-40B4-BE49-F238E27FC236}">
              <a16:creationId xmlns:a16="http://schemas.microsoft.com/office/drawing/2014/main" id="{96329E8F-6B44-497C-8AD5-AA9D29CC21B8}"/>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33" name="Picture 232" descr="NewStar.png">
          <a:extLst>
            <a:ext uri="{FF2B5EF4-FFF2-40B4-BE49-F238E27FC236}">
              <a16:creationId xmlns:a16="http://schemas.microsoft.com/office/drawing/2014/main" id="{15D26517-EF9A-44AE-867B-FF020ADEC24E}"/>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34" name="Picture 233" descr="NewStar.png">
          <a:extLst>
            <a:ext uri="{FF2B5EF4-FFF2-40B4-BE49-F238E27FC236}">
              <a16:creationId xmlns:a16="http://schemas.microsoft.com/office/drawing/2014/main" id="{4C530219-8085-4D74-90B6-DD92C6B77854}"/>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35" name="Picture 234" descr="NewStar.png">
          <a:extLst>
            <a:ext uri="{FF2B5EF4-FFF2-40B4-BE49-F238E27FC236}">
              <a16:creationId xmlns:a16="http://schemas.microsoft.com/office/drawing/2014/main" id="{C068A46F-B0E8-4CB9-A874-90D0CD094EA5}"/>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36" name="Picture 235" descr="NewStar.png">
          <a:extLst>
            <a:ext uri="{FF2B5EF4-FFF2-40B4-BE49-F238E27FC236}">
              <a16:creationId xmlns:a16="http://schemas.microsoft.com/office/drawing/2014/main" id="{FB9416DA-5498-4FEA-8C1D-B7756519F30C}"/>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37" name="Picture 236" descr="NewStar.png">
          <a:extLst>
            <a:ext uri="{FF2B5EF4-FFF2-40B4-BE49-F238E27FC236}">
              <a16:creationId xmlns:a16="http://schemas.microsoft.com/office/drawing/2014/main" id="{DC6EDF90-830D-48EF-86C1-5398F96220F5}"/>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38" name="Picture 237" descr="NewStar.png">
          <a:extLst>
            <a:ext uri="{FF2B5EF4-FFF2-40B4-BE49-F238E27FC236}">
              <a16:creationId xmlns:a16="http://schemas.microsoft.com/office/drawing/2014/main" id="{22E9EB49-3928-467D-97AF-9DE66824FB14}"/>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39" name="Picture 238" descr="NewStar.png">
          <a:extLst>
            <a:ext uri="{FF2B5EF4-FFF2-40B4-BE49-F238E27FC236}">
              <a16:creationId xmlns:a16="http://schemas.microsoft.com/office/drawing/2014/main" id="{4D3B63D9-BB53-4756-BFA4-576F15BF45F8}"/>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40" name="Picture 239" descr="NewStar.png">
          <a:extLst>
            <a:ext uri="{FF2B5EF4-FFF2-40B4-BE49-F238E27FC236}">
              <a16:creationId xmlns:a16="http://schemas.microsoft.com/office/drawing/2014/main" id="{7D9584BF-E04B-496B-8346-7A810748C791}"/>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41" name="Picture 240" descr="NewStar.png">
          <a:extLst>
            <a:ext uri="{FF2B5EF4-FFF2-40B4-BE49-F238E27FC236}">
              <a16:creationId xmlns:a16="http://schemas.microsoft.com/office/drawing/2014/main" id="{A72B4825-8D88-4806-8D0F-07145142A2AF}"/>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6</xdr:col>
      <xdr:colOff>350043</xdr:colOff>
      <xdr:row>48</xdr:row>
      <xdr:rowOff>83344</xdr:rowOff>
    </xdr:from>
    <xdr:ext cx="0" cy="294543"/>
    <xdr:pic>
      <xdr:nvPicPr>
        <xdr:cNvPr id="242" name="Picture 241" descr="NewStar.png">
          <a:extLst>
            <a:ext uri="{FF2B5EF4-FFF2-40B4-BE49-F238E27FC236}">
              <a16:creationId xmlns:a16="http://schemas.microsoft.com/office/drawing/2014/main" id="{EC054538-7C7B-4AB3-AFC5-07726ED80F85}"/>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43" name="Picture 242" descr="NewStar.png">
          <a:extLst>
            <a:ext uri="{FF2B5EF4-FFF2-40B4-BE49-F238E27FC236}">
              <a16:creationId xmlns:a16="http://schemas.microsoft.com/office/drawing/2014/main" id="{DB051EC9-2128-4775-847E-1B883A7D7736}"/>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44" name="Picture 243" descr="NewStar.png">
          <a:extLst>
            <a:ext uri="{FF2B5EF4-FFF2-40B4-BE49-F238E27FC236}">
              <a16:creationId xmlns:a16="http://schemas.microsoft.com/office/drawing/2014/main" id="{F7D7E389-D2A1-4E7F-85C4-FAFB6B2C2E59}"/>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45" name="Picture 244" descr="NewStar.png">
          <a:extLst>
            <a:ext uri="{FF2B5EF4-FFF2-40B4-BE49-F238E27FC236}">
              <a16:creationId xmlns:a16="http://schemas.microsoft.com/office/drawing/2014/main" id="{D21360C7-75B0-44DA-ABD2-86CB95CE758E}"/>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46" name="Picture 245" descr="NewStar.png">
          <a:extLst>
            <a:ext uri="{FF2B5EF4-FFF2-40B4-BE49-F238E27FC236}">
              <a16:creationId xmlns:a16="http://schemas.microsoft.com/office/drawing/2014/main" id="{63BC3FA5-7ED4-421D-98D6-BA753B99C7BB}"/>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47" name="Picture 246" descr="NewStar.png">
          <a:extLst>
            <a:ext uri="{FF2B5EF4-FFF2-40B4-BE49-F238E27FC236}">
              <a16:creationId xmlns:a16="http://schemas.microsoft.com/office/drawing/2014/main" id="{E24E8EDE-D789-4F10-A56E-FC56282BCD8E}"/>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48" name="Picture 247" descr="NewStar.png">
          <a:extLst>
            <a:ext uri="{FF2B5EF4-FFF2-40B4-BE49-F238E27FC236}">
              <a16:creationId xmlns:a16="http://schemas.microsoft.com/office/drawing/2014/main" id="{529B49A6-72E0-49E9-959A-24D82D34DF55}"/>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49" name="Picture 248" descr="NewStar.png">
          <a:extLst>
            <a:ext uri="{FF2B5EF4-FFF2-40B4-BE49-F238E27FC236}">
              <a16:creationId xmlns:a16="http://schemas.microsoft.com/office/drawing/2014/main" id="{C0584538-CD40-4825-A418-24D533181DEC}"/>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50" name="Picture 249" descr="NewStar.png">
          <a:extLst>
            <a:ext uri="{FF2B5EF4-FFF2-40B4-BE49-F238E27FC236}">
              <a16:creationId xmlns:a16="http://schemas.microsoft.com/office/drawing/2014/main" id="{AD38FABC-BFF0-4918-A605-863957579FC2}"/>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51" name="Picture 250" descr="NewStar.png">
          <a:extLst>
            <a:ext uri="{FF2B5EF4-FFF2-40B4-BE49-F238E27FC236}">
              <a16:creationId xmlns:a16="http://schemas.microsoft.com/office/drawing/2014/main" id="{00067BA6-37E8-4E47-89F6-29E8CBE38840}"/>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52" name="Picture 251" descr="NewStar.png">
          <a:extLst>
            <a:ext uri="{FF2B5EF4-FFF2-40B4-BE49-F238E27FC236}">
              <a16:creationId xmlns:a16="http://schemas.microsoft.com/office/drawing/2014/main" id="{33264E73-5826-4174-B396-63FBAB008C73}"/>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53" name="Picture 252" descr="NewStar.png">
          <a:extLst>
            <a:ext uri="{FF2B5EF4-FFF2-40B4-BE49-F238E27FC236}">
              <a16:creationId xmlns:a16="http://schemas.microsoft.com/office/drawing/2014/main" id="{2C9446A8-6165-4863-AF35-3C79BC8874E8}"/>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54" name="Picture 253" descr="NewStar.png">
          <a:extLst>
            <a:ext uri="{FF2B5EF4-FFF2-40B4-BE49-F238E27FC236}">
              <a16:creationId xmlns:a16="http://schemas.microsoft.com/office/drawing/2014/main" id="{47387C1B-5390-4824-AA8E-45A599BC24A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55" name="Picture 254" descr="NewStar.png">
          <a:extLst>
            <a:ext uri="{FF2B5EF4-FFF2-40B4-BE49-F238E27FC236}">
              <a16:creationId xmlns:a16="http://schemas.microsoft.com/office/drawing/2014/main" id="{C5385BF7-135A-4EC2-8CA4-9B4E9973D07B}"/>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56" name="Picture 255" descr="NewStar.png">
          <a:extLst>
            <a:ext uri="{FF2B5EF4-FFF2-40B4-BE49-F238E27FC236}">
              <a16:creationId xmlns:a16="http://schemas.microsoft.com/office/drawing/2014/main" id="{EB6DC397-2D30-464A-BDE8-A21F5CDC9C4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6</xdr:col>
      <xdr:colOff>350043</xdr:colOff>
      <xdr:row>48</xdr:row>
      <xdr:rowOff>83344</xdr:rowOff>
    </xdr:from>
    <xdr:ext cx="0" cy="294543"/>
    <xdr:pic>
      <xdr:nvPicPr>
        <xdr:cNvPr id="257" name="Picture 256" descr="NewStar.png">
          <a:extLst>
            <a:ext uri="{FF2B5EF4-FFF2-40B4-BE49-F238E27FC236}">
              <a16:creationId xmlns:a16="http://schemas.microsoft.com/office/drawing/2014/main" id="{5EB570E6-D0A6-4F02-841C-E20B985C9682}"/>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58" name="Picture 257" descr="NewStar.png">
          <a:extLst>
            <a:ext uri="{FF2B5EF4-FFF2-40B4-BE49-F238E27FC236}">
              <a16:creationId xmlns:a16="http://schemas.microsoft.com/office/drawing/2014/main" id="{981CD7FB-1354-464C-9533-460CA5A3B189}"/>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59" name="Picture 258" descr="NewStar.png">
          <a:extLst>
            <a:ext uri="{FF2B5EF4-FFF2-40B4-BE49-F238E27FC236}">
              <a16:creationId xmlns:a16="http://schemas.microsoft.com/office/drawing/2014/main" id="{DD05CF52-0EAF-4405-B81C-9CDEF84E400A}"/>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60" name="Picture 259" descr="NewStar.png">
          <a:extLst>
            <a:ext uri="{FF2B5EF4-FFF2-40B4-BE49-F238E27FC236}">
              <a16:creationId xmlns:a16="http://schemas.microsoft.com/office/drawing/2014/main" id="{6B9294AB-FA59-4EA4-A91A-DC41C612E66E}"/>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61" name="Picture 260" descr="NewStar.png">
          <a:extLst>
            <a:ext uri="{FF2B5EF4-FFF2-40B4-BE49-F238E27FC236}">
              <a16:creationId xmlns:a16="http://schemas.microsoft.com/office/drawing/2014/main" id="{B5FF707F-6A34-45D0-B963-36126FC8E162}"/>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62" name="Picture 261" descr="NewStar.png">
          <a:extLst>
            <a:ext uri="{FF2B5EF4-FFF2-40B4-BE49-F238E27FC236}">
              <a16:creationId xmlns:a16="http://schemas.microsoft.com/office/drawing/2014/main" id="{CF84FCC9-E87F-4045-A474-E558BE04F1C7}"/>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63" name="Picture 262" descr="NewStar.png">
          <a:extLst>
            <a:ext uri="{FF2B5EF4-FFF2-40B4-BE49-F238E27FC236}">
              <a16:creationId xmlns:a16="http://schemas.microsoft.com/office/drawing/2014/main" id="{E5CA07BA-BDE9-4339-9E25-175B730F7143}"/>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64" name="Picture 263" descr="NewStar.png">
          <a:extLst>
            <a:ext uri="{FF2B5EF4-FFF2-40B4-BE49-F238E27FC236}">
              <a16:creationId xmlns:a16="http://schemas.microsoft.com/office/drawing/2014/main" id="{776A6E71-15D1-43CA-A3C8-6C9AD79C8E10}"/>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65" name="Picture 264" descr="NewStar.png">
          <a:extLst>
            <a:ext uri="{FF2B5EF4-FFF2-40B4-BE49-F238E27FC236}">
              <a16:creationId xmlns:a16="http://schemas.microsoft.com/office/drawing/2014/main" id="{01A93C8E-5502-4061-889E-CDE86208A2F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66" name="Picture 265" descr="NewStar.png">
          <a:extLst>
            <a:ext uri="{FF2B5EF4-FFF2-40B4-BE49-F238E27FC236}">
              <a16:creationId xmlns:a16="http://schemas.microsoft.com/office/drawing/2014/main" id="{D93F6615-2537-4D0B-B79F-42577208B0CA}"/>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67" name="Picture 266" descr="NewStar.png">
          <a:extLst>
            <a:ext uri="{FF2B5EF4-FFF2-40B4-BE49-F238E27FC236}">
              <a16:creationId xmlns:a16="http://schemas.microsoft.com/office/drawing/2014/main" id="{4B5CF748-1C5D-4B7D-A4A3-0CD3FA06EF8A}"/>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68" name="Picture 267" descr="NewStar.png">
          <a:extLst>
            <a:ext uri="{FF2B5EF4-FFF2-40B4-BE49-F238E27FC236}">
              <a16:creationId xmlns:a16="http://schemas.microsoft.com/office/drawing/2014/main" id="{A5247861-0623-4D37-BAA2-636ED0E8106D}"/>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69" name="Picture 268" descr="NewStar.png">
          <a:extLst>
            <a:ext uri="{FF2B5EF4-FFF2-40B4-BE49-F238E27FC236}">
              <a16:creationId xmlns:a16="http://schemas.microsoft.com/office/drawing/2014/main" id="{7E4A4BC4-F7CA-4938-9B7F-A80D6908E35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70" name="Picture 269" descr="NewStar.png">
          <a:extLst>
            <a:ext uri="{FF2B5EF4-FFF2-40B4-BE49-F238E27FC236}">
              <a16:creationId xmlns:a16="http://schemas.microsoft.com/office/drawing/2014/main" id="{D9C314E0-A3E9-4974-BFA3-CC701B308503}"/>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71" name="Picture 270" descr="NewStar.png">
          <a:extLst>
            <a:ext uri="{FF2B5EF4-FFF2-40B4-BE49-F238E27FC236}">
              <a16:creationId xmlns:a16="http://schemas.microsoft.com/office/drawing/2014/main" id="{6BB695BC-6CA2-41CA-BBE6-E2A8AA86A0A6}"/>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6</xdr:col>
      <xdr:colOff>350043</xdr:colOff>
      <xdr:row>48</xdr:row>
      <xdr:rowOff>83344</xdr:rowOff>
    </xdr:from>
    <xdr:ext cx="0" cy="294543"/>
    <xdr:pic>
      <xdr:nvPicPr>
        <xdr:cNvPr id="272" name="Picture 271" descr="NewStar.png">
          <a:extLst>
            <a:ext uri="{FF2B5EF4-FFF2-40B4-BE49-F238E27FC236}">
              <a16:creationId xmlns:a16="http://schemas.microsoft.com/office/drawing/2014/main" id="{545C689F-BB23-491D-AFC5-20D8ABE1DB42}"/>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73" name="Picture 272" descr="NewStar.png">
          <a:extLst>
            <a:ext uri="{FF2B5EF4-FFF2-40B4-BE49-F238E27FC236}">
              <a16:creationId xmlns:a16="http://schemas.microsoft.com/office/drawing/2014/main" id="{8AB67A1B-7AB3-4A2A-8CC3-3DF30841E102}"/>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74" name="Picture 273" descr="NewStar.png">
          <a:extLst>
            <a:ext uri="{FF2B5EF4-FFF2-40B4-BE49-F238E27FC236}">
              <a16:creationId xmlns:a16="http://schemas.microsoft.com/office/drawing/2014/main" id="{AF6923E0-2F69-4932-B772-48125ECB5475}"/>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75" name="Picture 274" descr="NewStar.png">
          <a:extLst>
            <a:ext uri="{FF2B5EF4-FFF2-40B4-BE49-F238E27FC236}">
              <a16:creationId xmlns:a16="http://schemas.microsoft.com/office/drawing/2014/main" id="{4F4EECF1-A642-4A5F-90C6-EC464548713E}"/>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76" name="Picture 275" descr="NewStar.png">
          <a:extLst>
            <a:ext uri="{FF2B5EF4-FFF2-40B4-BE49-F238E27FC236}">
              <a16:creationId xmlns:a16="http://schemas.microsoft.com/office/drawing/2014/main" id="{242B81D6-A3DE-4DF5-8749-5CCABF7E8A9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77" name="Picture 276" descr="NewStar.png">
          <a:extLst>
            <a:ext uri="{FF2B5EF4-FFF2-40B4-BE49-F238E27FC236}">
              <a16:creationId xmlns:a16="http://schemas.microsoft.com/office/drawing/2014/main" id="{1CFDB3E0-F718-4115-9E6D-4CA689E585BA}"/>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78" name="Picture 277" descr="NewStar.png">
          <a:extLst>
            <a:ext uri="{FF2B5EF4-FFF2-40B4-BE49-F238E27FC236}">
              <a16:creationId xmlns:a16="http://schemas.microsoft.com/office/drawing/2014/main" id="{7B5382DE-A42F-4C3C-B2CC-88A3B6263CCD}"/>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79" name="Picture 278" descr="NewStar.png">
          <a:extLst>
            <a:ext uri="{FF2B5EF4-FFF2-40B4-BE49-F238E27FC236}">
              <a16:creationId xmlns:a16="http://schemas.microsoft.com/office/drawing/2014/main" id="{8EAB162E-F93F-420F-97DC-14B9FDBA0456}"/>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80" name="Picture 279" descr="NewStar.png">
          <a:extLst>
            <a:ext uri="{FF2B5EF4-FFF2-40B4-BE49-F238E27FC236}">
              <a16:creationId xmlns:a16="http://schemas.microsoft.com/office/drawing/2014/main" id="{E7F0B86C-7AB1-410C-A9A7-16DE094A41D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81" name="Picture 280" descr="NewStar.png">
          <a:extLst>
            <a:ext uri="{FF2B5EF4-FFF2-40B4-BE49-F238E27FC236}">
              <a16:creationId xmlns:a16="http://schemas.microsoft.com/office/drawing/2014/main" id="{57BBBE0C-AE0A-4441-88D1-81F70412E0B4}"/>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82" name="Picture 281" descr="NewStar.png">
          <a:extLst>
            <a:ext uri="{FF2B5EF4-FFF2-40B4-BE49-F238E27FC236}">
              <a16:creationId xmlns:a16="http://schemas.microsoft.com/office/drawing/2014/main" id="{E579F754-EB5C-47DE-9EF9-11F51493A3F4}"/>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83" name="Picture 282" descr="NewStar.png">
          <a:extLst>
            <a:ext uri="{FF2B5EF4-FFF2-40B4-BE49-F238E27FC236}">
              <a16:creationId xmlns:a16="http://schemas.microsoft.com/office/drawing/2014/main" id="{311FBFE1-E9FE-4DC1-8C1D-1D4CE23DF9DF}"/>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84" name="Picture 283" descr="NewStar.png">
          <a:extLst>
            <a:ext uri="{FF2B5EF4-FFF2-40B4-BE49-F238E27FC236}">
              <a16:creationId xmlns:a16="http://schemas.microsoft.com/office/drawing/2014/main" id="{C2230512-8F49-45F1-BD65-02E48F8EE93E}"/>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85" name="Picture 284" descr="NewStar.png">
          <a:extLst>
            <a:ext uri="{FF2B5EF4-FFF2-40B4-BE49-F238E27FC236}">
              <a16:creationId xmlns:a16="http://schemas.microsoft.com/office/drawing/2014/main" id="{BB8DE26D-B83B-4BBF-878A-57BC95DF0A08}"/>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86" name="Picture 285" descr="NewStar.png">
          <a:extLst>
            <a:ext uri="{FF2B5EF4-FFF2-40B4-BE49-F238E27FC236}">
              <a16:creationId xmlns:a16="http://schemas.microsoft.com/office/drawing/2014/main" id="{32A44800-2A76-4636-99E5-5CA35997C91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6</xdr:col>
      <xdr:colOff>350043</xdr:colOff>
      <xdr:row>48</xdr:row>
      <xdr:rowOff>83344</xdr:rowOff>
    </xdr:from>
    <xdr:ext cx="0" cy="294543"/>
    <xdr:pic>
      <xdr:nvPicPr>
        <xdr:cNvPr id="287" name="Picture 286" descr="NewStar.png">
          <a:extLst>
            <a:ext uri="{FF2B5EF4-FFF2-40B4-BE49-F238E27FC236}">
              <a16:creationId xmlns:a16="http://schemas.microsoft.com/office/drawing/2014/main" id="{1695A942-8CB2-4A02-80DB-12895FD82BE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88" name="Picture 287" descr="NewStar.png">
          <a:extLst>
            <a:ext uri="{FF2B5EF4-FFF2-40B4-BE49-F238E27FC236}">
              <a16:creationId xmlns:a16="http://schemas.microsoft.com/office/drawing/2014/main" id="{98CF53E4-64C3-4C97-ADD4-4B0A7EAFACB2}"/>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89" name="Picture 288" descr="NewStar.png">
          <a:extLst>
            <a:ext uri="{FF2B5EF4-FFF2-40B4-BE49-F238E27FC236}">
              <a16:creationId xmlns:a16="http://schemas.microsoft.com/office/drawing/2014/main" id="{9677F7C3-1782-4CA4-B14C-7E69DBC72404}"/>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90" name="Picture 289" descr="NewStar.png">
          <a:extLst>
            <a:ext uri="{FF2B5EF4-FFF2-40B4-BE49-F238E27FC236}">
              <a16:creationId xmlns:a16="http://schemas.microsoft.com/office/drawing/2014/main" id="{CD98B722-EF3C-4A6D-9B54-EA4ADB3E4CE9}"/>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91" name="Picture 290" descr="NewStar.png">
          <a:extLst>
            <a:ext uri="{FF2B5EF4-FFF2-40B4-BE49-F238E27FC236}">
              <a16:creationId xmlns:a16="http://schemas.microsoft.com/office/drawing/2014/main" id="{67FA654D-671A-4FB4-95C2-73F29ADA751A}"/>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92" name="Picture 291" descr="NewStar.png">
          <a:extLst>
            <a:ext uri="{FF2B5EF4-FFF2-40B4-BE49-F238E27FC236}">
              <a16:creationId xmlns:a16="http://schemas.microsoft.com/office/drawing/2014/main" id="{B636FD8E-0CF2-43BD-ACC7-CF1240E87027}"/>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93" name="Picture 292" descr="NewStar.png">
          <a:extLst>
            <a:ext uri="{FF2B5EF4-FFF2-40B4-BE49-F238E27FC236}">
              <a16:creationId xmlns:a16="http://schemas.microsoft.com/office/drawing/2014/main" id="{3C095112-8B81-40B7-860B-F07FEC064415}"/>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94" name="Picture 293" descr="NewStar.png">
          <a:extLst>
            <a:ext uri="{FF2B5EF4-FFF2-40B4-BE49-F238E27FC236}">
              <a16:creationId xmlns:a16="http://schemas.microsoft.com/office/drawing/2014/main" id="{A9B7A8F2-E149-4BEF-B9B1-4816C69F60DC}"/>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95" name="Picture 294" descr="NewStar.png">
          <a:extLst>
            <a:ext uri="{FF2B5EF4-FFF2-40B4-BE49-F238E27FC236}">
              <a16:creationId xmlns:a16="http://schemas.microsoft.com/office/drawing/2014/main" id="{892CBD0D-9AC3-4BE8-A99A-18BE1F8FF773}"/>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96" name="Picture 295" descr="NewStar.png">
          <a:extLst>
            <a:ext uri="{FF2B5EF4-FFF2-40B4-BE49-F238E27FC236}">
              <a16:creationId xmlns:a16="http://schemas.microsoft.com/office/drawing/2014/main" id="{B086AF02-802A-4CAF-BF90-0C79DE540D19}"/>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97" name="Picture 296" descr="NewStar.png">
          <a:extLst>
            <a:ext uri="{FF2B5EF4-FFF2-40B4-BE49-F238E27FC236}">
              <a16:creationId xmlns:a16="http://schemas.microsoft.com/office/drawing/2014/main" id="{42F76FB7-93CC-4BB3-9D5E-53D4A7189B0E}"/>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98" name="Picture 297" descr="NewStar.png">
          <a:extLst>
            <a:ext uri="{FF2B5EF4-FFF2-40B4-BE49-F238E27FC236}">
              <a16:creationId xmlns:a16="http://schemas.microsoft.com/office/drawing/2014/main" id="{6271690F-FC57-47B7-87C6-C67B6F44E1A4}"/>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299" name="Picture 298" descr="NewStar.png">
          <a:extLst>
            <a:ext uri="{FF2B5EF4-FFF2-40B4-BE49-F238E27FC236}">
              <a16:creationId xmlns:a16="http://schemas.microsoft.com/office/drawing/2014/main" id="{CCC0B8D4-C76F-4B14-A74D-20E939AAD199}"/>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00" name="Picture 299" descr="NewStar.png">
          <a:extLst>
            <a:ext uri="{FF2B5EF4-FFF2-40B4-BE49-F238E27FC236}">
              <a16:creationId xmlns:a16="http://schemas.microsoft.com/office/drawing/2014/main" id="{DF9610D5-A36F-4766-9328-A295A01DA4D5}"/>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01" name="Picture 300" descr="NewStar.png">
          <a:extLst>
            <a:ext uri="{FF2B5EF4-FFF2-40B4-BE49-F238E27FC236}">
              <a16:creationId xmlns:a16="http://schemas.microsoft.com/office/drawing/2014/main" id="{1496AF6C-4017-4537-8104-F627CFD316C3}"/>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6</xdr:col>
      <xdr:colOff>350043</xdr:colOff>
      <xdr:row>48</xdr:row>
      <xdr:rowOff>83344</xdr:rowOff>
    </xdr:from>
    <xdr:ext cx="0" cy="294543"/>
    <xdr:pic>
      <xdr:nvPicPr>
        <xdr:cNvPr id="2" name="Picture 1" descr="NewStar.png">
          <a:extLst>
            <a:ext uri="{FF2B5EF4-FFF2-40B4-BE49-F238E27FC236}">
              <a16:creationId xmlns:a16="http://schemas.microsoft.com/office/drawing/2014/main" id="{1F974E45-201A-411A-83F2-5DF590CA46AC}"/>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24" name="Picture 23" descr="NewStar.png">
          <a:extLst>
            <a:ext uri="{FF2B5EF4-FFF2-40B4-BE49-F238E27FC236}">
              <a16:creationId xmlns:a16="http://schemas.microsoft.com/office/drawing/2014/main" id="{0097DAEA-33EB-4339-99B4-E1B1985930FA}"/>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3" name="Picture 32" descr="NewStar.png">
          <a:extLst>
            <a:ext uri="{FF2B5EF4-FFF2-40B4-BE49-F238E27FC236}">
              <a16:creationId xmlns:a16="http://schemas.microsoft.com/office/drawing/2014/main" id="{86F50CDC-31A6-46D8-BFBB-E9CEBCB6CB86}"/>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4" name="Picture 33" descr="NewStar.png">
          <a:extLst>
            <a:ext uri="{FF2B5EF4-FFF2-40B4-BE49-F238E27FC236}">
              <a16:creationId xmlns:a16="http://schemas.microsoft.com/office/drawing/2014/main" id="{FD241BEA-7053-43A3-8A52-0E7610F23090}"/>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42" name="Picture 41" descr="NewStar.png">
          <a:extLst>
            <a:ext uri="{FF2B5EF4-FFF2-40B4-BE49-F238E27FC236}">
              <a16:creationId xmlns:a16="http://schemas.microsoft.com/office/drawing/2014/main" id="{A98911E5-C733-4BB2-92EC-A585CCEA3781}"/>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43" name="Picture 42" descr="NewStar.png">
          <a:extLst>
            <a:ext uri="{FF2B5EF4-FFF2-40B4-BE49-F238E27FC236}">
              <a16:creationId xmlns:a16="http://schemas.microsoft.com/office/drawing/2014/main" id="{FDE870E4-3117-4DD0-A023-E358C0F2BE55}"/>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44" name="Picture 43" descr="NewStar.png">
          <a:extLst>
            <a:ext uri="{FF2B5EF4-FFF2-40B4-BE49-F238E27FC236}">
              <a16:creationId xmlns:a16="http://schemas.microsoft.com/office/drawing/2014/main" id="{771E5B07-8D54-45F7-8163-C2DDDBCB835F}"/>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91" name="Picture 90" descr="NewStar.png">
          <a:extLst>
            <a:ext uri="{FF2B5EF4-FFF2-40B4-BE49-F238E27FC236}">
              <a16:creationId xmlns:a16="http://schemas.microsoft.com/office/drawing/2014/main" id="{4990E851-9F57-4E03-AFC4-1460B83A1A97}"/>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100" name="Picture 99" descr="NewStar.png">
          <a:extLst>
            <a:ext uri="{FF2B5EF4-FFF2-40B4-BE49-F238E27FC236}">
              <a16:creationId xmlns:a16="http://schemas.microsoft.com/office/drawing/2014/main" id="{8DF54F2A-7B37-4DB2-AFC8-FF0E079B1C6C}"/>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101" name="Picture 100" descr="NewStar.png">
          <a:extLst>
            <a:ext uri="{FF2B5EF4-FFF2-40B4-BE49-F238E27FC236}">
              <a16:creationId xmlns:a16="http://schemas.microsoft.com/office/drawing/2014/main" id="{AEF8B4DB-43A3-40F7-870B-4399788E1E73}"/>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106" name="Picture 105" descr="NewStar.png">
          <a:extLst>
            <a:ext uri="{FF2B5EF4-FFF2-40B4-BE49-F238E27FC236}">
              <a16:creationId xmlns:a16="http://schemas.microsoft.com/office/drawing/2014/main" id="{DEE3176F-BBC5-4C39-93C9-7FD673A45524}"/>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107" name="Picture 106" descr="NewStar.png">
          <a:extLst>
            <a:ext uri="{FF2B5EF4-FFF2-40B4-BE49-F238E27FC236}">
              <a16:creationId xmlns:a16="http://schemas.microsoft.com/office/drawing/2014/main" id="{9E40E475-6416-4917-ABDF-01B6B1D3918C}"/>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108" name="Picture 107" descr="NewStar.png">
          <a:extLst>
            <a:ext uri="{FF2B5EF4-FFF2-40B4-BE49-F238E27FC236}">
              <a16:creationId xmlns:a16="http://schemas.microsoft.com/office/drawing/2014/main" id="{4F9EA25A-3F6F-491E-8609-CDA2D125B3F5}"/>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109" name="Picture 108" descr="NewStar.png">
          <a:extLst>
            <a:ext uri="{FF2B5EF4-FFF2-40B4-BE49-F238E27FC236}">
              <a16:creationId xmlns:a16="http://schemas.microsoft.com/office/drawing/2014/main" id="{313F250C-935E-4DFB-B16F-B91C371100CF}"/>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110" name="Picture 109" descr="NewStar.png">
          <a:extLst>
            <a:ext uri="{FF2B5EF4-FFF2-40B4-BE49-F238E27FC236}">
              <a16:creationId xmlns:a16="http://schemas.microsoft.com/office/drawing/2014/main" id="{3AA13BDE-17F8-44E0-B1F0-BA77FF9C9FDA}"/>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6</xdr:col>
      <xdr:colOff>350043</xdr:colOff>
      <xdr:row>48</xdr:row>
      <xdr:rowOff>83344</xdr:rowOff>
    </xdr:from>
    <xdr:ext cx="0" cy="294543"/>
    <xdr:pic>
      <xdr:nvPicPr>
        <xdr:cNvPr id="114" name="Picture 113" descr="NewStar.png">
          <a:extLst>
            <a:ext uri="{FF2B5EF4-FFF2-40B4-BE49-F238E27FC236}">
              <a16:creationId xmlns:a16="http://schemas.microsoft.com/office/drawing/2014/main" id="{5E335EF8-26BA-49D9-BF1E-FADC3A852598}"/>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115" name="Picture 114" descr="NewStar.png">
          <a:extLst>
            <a:ext uri="{FF2B5EF4-FFF2-40B4-BE49-F238E27FC236}">
              <a16:creationId xmlns:a16="http://schemas.microsoft.com/office/drawing/2014/main" id="{EE5874C3-C8B5-4EC1-A046-7E0AC5DBDFE9}"/>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118" name="Picture 117" descr="NewStar.png">
          <a:extLst>
            <a:ext uri="{FF2B5EF4-FFF2-40B4-BE49-F238E27FC236}">
              <a16:creationId xmlns:a16="http://schemas.microsoft.com/office/drawing/2014/main" id="{168E9BDF-A98B-4530-8A90-E3B74EC4F3EA}"/>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119" name="Picture 118" descr="NewStar.png">
          <a:extLst>
            <a:ext uri="{FF2B5EF4-FFF2-40B4-BE49-F238E27FC236}">
              <a16:creationId xmlns:a16="http://schemas.microsoft.com/office/drawing/2014/main" id="{08CEB256-D9EE-4AEE-851B-A3C22BC0F45F}"/>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125" name="Picture 124" descr="NewStar.png">
          <a:extLst>
            <a:ext uri="{FF2B5EF4-FFF2-40B4-BE49-F238E27FC236}">
              <a16:creationId xmlns:a16="http://schemas.microsoft.com/office/drawing/2014/main" id="{31438999-09A9-490F-A6DB-CFFE459B7AA2}"/>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126" name="Picture 125" descr="NewStar.png">
          <a:extLst>
            <a:ext uri="{FF2B5EF4-FFF2-40B4-BE49-F238E27FC236}">
              <a16:creationId xmlns:a16="http://schemas.microsoft.com/office/drawing/2014/main" id="{839981C6-CBCA-47C8-8DE3-CB3EBCBBF5E0}"/>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127" name="Picture 126" descr="NewStar.png">
          <a:extLst>
            <a:ext uri="{FF2B5EF4-FFF2-40B4-BE49-F238E27FC236}">
              <a16:creationId xmlns:a16="http://schemas.microsoft.com/office/drawing/2014/main" id="{0F370419-5F98-446A-BDDD-21C01EAC3FFA}"/>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02" name="Picture 301" descr="NewStar.png">
          <a:extLst>
            <a:ext uri="{FF2B5EF4-FFF2-40B4-BE49-F238E27FC236}">
              <a16:creationId xmlns:a16="http://schemas.microsoft.com/office/drawing/2014/main" id="{0069794C-6848-4CD9-A4E1-AF9FFD07721B}"/>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03" name="Picture 302" descr="NewStar.png">
          <a:extLst>
            <a:ext uri="{FF2B5EF4-FFF2-40B4-BE49-F238E27FC236}">
              <a16:creationId xmlns:a16="http://schemas.microsoft.com/office/drawing/2014/main" id="{217F6858-2ED5-4E6A-AFB3-A63E7AFC702F}"/>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04" name="Picture 303" descr="NewStar.png">
          <a:extLst>
            <a:ext uri="{FF2B5EF4-FFF2-40B4-BE49-F238E27FC236}">
              <a16:creationId xmlns:a16="http://schemas.microsoft.com/office/drawing/2014/main" id="{F334866F-A219-446D-8746-464B1F11F03C}"/>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05" name="Picture 304" descr="NewStar.png">
          <a:extLst>
            <a:ext uri="{FF2B5EF4-FFF2-40B4-BE49-F238E27FC236}">
              <a16:creationId xmlns:a16="http://schemas.microsoft.com/office/drawing/2014/main" id="{E657DBF6-AA4C-4B68-8464-B7E01E4A24D5}"/>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06" name="Picture 305" descr="NewStar.png">
          <a:extLst>
            <a:ext uri="{FF2B5EF4-FFF2-40B4-BE49-F238E27FC236}">
              <a16:creationId xmlns:a16="http://schemas.microsoft.com/office/drawing/2014/main" id="{976A4802-108A-44AF-AE90-22B13FB4C421}"/>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07" name="Picture 306" descr="NewStar.png">
          <a:extLst>
            <a:ext uri="{FF2B5EF4-FFF2-40B4-BE49-F238E27FC236}">
              <a16:creationId xmlns:a16="http://schemas.microsoft.com/office/drawing/2014/main" id="{A7A1E526-ED3D-4A20-B8AF-EE01A726F71D}"/>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08" name="Picture 307" descr="NewStar.png">
          <a:extLst>
            <a:ext uri="{FF2B5EF4-FFF2-40B4-BE49-F238E27FC236}">
              <a16:creationId xmlns:a16="http://schemas.microsoft.com/office/drawing/2014/main" id="{95704F7D-EE6A-4BED-9023-1865497788C3}"/>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09" name="Picture 308" descr="NewStar.png">
          <a:extLst>
            <a:ext uri="{FF2B5EF4-FFF2-40B4-BE49-F238E27FC236}">
              <a16:creationId xmlns:a16="http://schemas.microsoft.com/office/drawing/2014/main" id="{A41C32CF-7BB8-43B0-B291-820445747850}"/>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6</xdr:col>
      <xdr:colOff>350043</xdr:colOff>
      <xdr:row>48</xdr:row>
      <xdr:rowOff>83344</xdr:rowOff>
    </xdr:from>
    <xdr:ext cx="0" cy="294543"/>
    <xdr:pic>
      <xdr:nvPicPr>
        <xdr:cNvPr id="310" name="Picture 309" descr="NewStar.png">
          <a:extLst>
            <a:ext uri="{FF2B5EF4-FFF2-40B4-BE49-F238E27FC236}">
              <a16:creationId xmlns:a16="http://schemas.microsoft.com/office/drawing/2014/main" id="{AA7642A9-E22C-4F5E-BB32-024D2FEE0D53}"/>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11" name="Picture 310" descr="NewStar.png">
          <a:extLst>
            <a:ext uri="{FF2B5EF4-FFF2-40B4-BE49-F238E27FC236}">
              <a16:creationId xmlns:a16="http://schemas.microsoft.com/office/drawing/2014/main" id="{07EEA4F2-65D0-4965-B596-255258CE62AC}"/>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12" name="Picture 311" descr="NewStar.png">
          <a:extLst>
            <a:ext uri="{FF2B5EF4-FFF2-40B4-BE49-F238E27FC236}">
              <a16:creationId xmlns:a16="http://schemas.microsoft.com/office/drawing/2014/main" id="{0570AE9B-B011-475E-9879-CFB6A74FB02E}"/>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13" name="Picture 312" descr="NewStar.png">
          <a:extLst>
            <a:ext uri="{FF2B5EF4-FFF2-40B4-BE49-F238E27FC236}">
              <a16:creationId xmlns:a16="http://schemas.microsoft.com/office/drawing/2014/main" id="{ACABB3DC-8977-45FF-B7EA-68095F8D6D31}"/>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14" name="Picture 313" descr="NewStar.png">
          <a:extLst>
            <a:ext uri="{FF2B5EF4-FFF2-40B4-BE49-F238E27FC236}">
              <a16:creationId xmlns:a16="http://schemas.microsoft.com/office/drawing/2014/main" id="{6B5D3D83-EFBB-4698-9EC4-F3ED69BAD59D}"/>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15" name="Picture 314" descr="NewStar.png">
          <a:extLst>
            <a:ext uri="{FF2B5EF4-FFF2-40B4-BE49-F238E27FC236}">
              <a16:creationId xmlns:a16="http://schemas.microsoft.com/office/drawing/2014/main" id="{349F53A4-4E78-48B5-8182-5431323506AC}"/>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16" name="Picture 315" descr="NewStar.png">
          <a:extLst>
            <a:ext uri="{FF2B5EF4-FFF2-40B4-BE49-F238E27FC236}">
              <a16:creationId xmlns:a16="http://schemas.microsoft.com/office/drawing/2014/main" id="{479BACCE-3DE8-4482-9A7F-E82087A86822}"/>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17" name="Picture 316" descr="NewStar.png">
          <a:extLst>
            <a:ext uri="{FF2B5EF4-FFF2-40B4-BE49-F238E27FC236}">
              <a16:creationId xmlns:a16="http://schemas.microsoft.com/office/drawing/2014/main" id="{F59ECB2A-391C-4636-B200-DD9A22D85154}"/>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18" name="Picture 317" descr="NewStar.png">
          <a:extLst>
            <a:ext uri="{FF2B5EF4-FFF2-40B4-BE49-F238E27FC236}">
              <a16:creationId xmlns:a16="http://schemas.microsoft.com/office/drawing/2014/main" id="{2F356EE6-B945-4BB6-99E4-CEBF6C2F1EAB}"/>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19" name="Picture 318" descr="NewStar.png">
          <a:extLst>
            <a:ext uri="{FF2B5EF4-FFF2-40B4-BE49-F238E27FC236}">
              <a16:creationId xmlns:a16="http://schemas.microsoft.com/office/drawing/2014/main" id="{6DDFAD8A-FD05-4FC4-BB68-881E83B770CC}"/>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20" name="Picture 319" descr="NewStar.png">
          <a:extLst>
            <a:ext uri="{FF2B5EF4-FFF2-40B4-BE49-F238E27FC236}">
              <a16:creationId xmlns:a16="http://schemas.microsoft.com/office/drawing/2014/main" id="{3A375233-3D69-4209-9D36-CDD1EE6CA484}"/>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21" name="Picture 320" descr="NewStar.png">
          <a:extLst>
            <a:ext uri="{FF2B5EF4-FFF2-40B4-BE49-F238E27FC236}">
              <a16:creationId xmlns:a16="http://schemas.microsoft.com/office/drawing/2014/main" id="{8F1E6BFD-1709-4803-A658-E02821E91778}"/>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22" name="Picture 321" descr="NewStar.png">
          <a:extLst>
            <a:ext uri="{FF2B5EF4-FFF2-40B4-BE49-F238E27FC236}">
              <a16:creationId xmlns:a16="http://schemas.microsoft.com/office/drawing/2014/main" id="{8A616A51-1486-46E4-A4A6-A508D5D8C70D}"/>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5</xdr:col>
      <xdr:colOff>350043</xdr:colOff>
      <xdr:row>48</xdr:row>
      <xdr:rowOff>83344</xdr:rowOff>
    </xdr:from>
    <xdr:ext cx="0" cy="294543"/>
    <xdr:pic>
      <xdr:nvPicPr>
        <xdr:cNvPr id="323" name="Picture 322" descr="NewStar.png">
          <a:extLst>
            <a:ext uri="{FF2B5EF4-FFF2-40B4-BE49-F238E27FC236}">
              <a16:creationId xmlns:a16="http://schemas.microsoft.com/office/drawing/2014/main" id="{1D2035B6-1960-4FC7-9938-9FEA686DA36F}"/>
            </a:ext>
          </a:extLst>
        </xdr:cNvPr>
        <xdr:cNvPicPr>
          <a:picLocks/>
        </xdr:cNvPicPr>
      </xdr:nvPicPr>
      <xdr:blipFill>
        <a:blip xmlns:r="http://schemas.openxmlformats.org/officeDocument/2006/relationships" r:embed="rId1" cstate="print"/>
        <a:stretch>
          <a:fillRect/>
        </a:stretch>
      </xdr:blipFill>
      <xdr:spPr>
        <a:xfrm>
          <a:off x="5525293" y="8827294"/>
          <a:ext cx="0" cy="294543"/>
        </a:xfrm>
        <a:prstGeom prst="rect">
          <a:avLst/>
        </a:prstGeom>
      </xdr:spPr>
    </xdr:pic>
    <xdr:clientData/>
  </xdr:oneCellAnchor>
  <xdr:oneCellAnchor>
    <xdr:from>
      <xdr:col>6</xdr:col>
      <xdr:colOff>350043</xdr:colOff>
      <xdr:row>48</xdr:row>
      <xdr:rowOff>83344</xdr:rowOff>
    </xdr:from>
    <xdr:ext cx="0" cy="294543"/>
    <xdr:pic>
      <xdr:nvPicPr>
        <xdr:cNvPr id="324" name="Picture 323" descr="NewStar.png">
          <a:extLst>
            <a:ext uri="{FF2B5EF4-FFF2-40B4-BE49-F238E27FC236}">
              <a16:creationId xmlns:a16="http://schemas.microsoft.com/office/drawing/2014/main" id="{96023D78-24A4-4268-A1F8-8B79BFA1BA89}"/>
            </a:ext>
          </a:extLst>
        </xdr:cNvPr>
        <xdr:cNvPicPr>
          <a:picLocks/>
        </xdr:cNvPicPr>
      </xdr:nvPicPr>
      <xdr:blipFill>
        <a:blip xmlns:r="http://schemas.openxmlformats.org/officeDocument/2006/relationships" r:embed="rId1" cstate="print"/>
        <a:stretch>
          <a:fillRect/>
        </a:stretch>
      </xdr:blipFill>
      <xdr:spPr>
        <a:xfrm>
          <a:off x="6255543" y="8827294"/>
          <a:ext cx="0" cy="294543"/>
        </a:xfrm>
        <a:prstGeom prst="rect">
          <a:avLst/>
        </a:prstGeom>
      </xdr:spPr>
    </xdr:pic>
    <xdr:clientData/>
  </xdr:oneCellAnchor>
  <xdr:oneCellAnchor>
    <xdr:from>
      <xdr:col>8</xdr:col>
      <xdr:colOff>140083</xdr:colOff>
      <xdr:row>47</xdr:row>
      <xdr:rowOff>35278</xdr:rowOff>
    </xdr:from>
    <xdr:ext cx="0" cy="294543"/>
    <xdr:pic>
      <xdr:nvPicPr>
        <xdr:cNvPr id="325" name="Picture 324" descr="NewStar.png">
          <a:extLst>
            <a:ext uri="{FF2B5EF4-FFF2-40B4-BE49-F238E27FC236}">
              <a16:creationId xmlns:a16="http://schemas.microsoft.com/office/drawing/2014/main" id="{3A1F16EC-3FD4-4412-92BC-8AC8DC4FC922}"/>
            </a:ext>
          </a:extLst>
        </xdr:cNvPr>
        <xdr:cNvPicPr>
          <a:picLocks/>
        </xdr:cNvPicPr>
      </xdr:nvPicPr>
      <xdr:blipFill>
        <a:blip xmlns:r="http://schemas.openxmlformats.org/officeDocument/2006/relationships" r:embed="rId1" cstate="print"/>
        <a:stretch>
          <a:fillRect/>
        </a:stretch>
      </xdr:blipFill>
      <xdr:spPr>
        <a:xfrm>
          <a:off x="7506083" y="8595078"/>
          <a:ext cx="0" cy="294543"/>
        </a:xfrm>
        <a:prstGeom prst="rect">
          <a:avLst/>
        </a:prstGeom>
      </xdr:spPr>
    </xdr:pic>
    <xdr:clientData/>
  </xdr:oneCellAnchor>
  <xdr:oneCellAnchor>
    <xdr:from>
      <xdr:col>6</xdr:col>
      <xdr:colOff>350043</xdr:colOff>
      <xdr:row>48</xdr:row>
      <xdr:rowOff>83344</xdr:rowOff>
    </xdr:from>
    <xdr:ext cx="0" cy="294543"/>
    <xdr:pic>
      <xdr:nvPicPr>
        <xdr:cNvPr id="407" name="Picture 406" descr="NewStar.png">
          <a:extLst>
            <a:ext uri="{FF2B5EF4-FFF2-40B4-BE49-F238E27FC236}">
              <a16:creationId xmlns:a16="http://schemas.microsoft.com/office/drawing/2014/main" id="{DAFC6934-E33D-4C2C-9512-20240D99162B}"/>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08" name="Picture 407" descr="NewStar.png">
          <a:extLst>
            <a:ext uri="{FF2B5EF4-FFF2-40B4-BE49-F238E27FC236}">
              <a16:creationId xmlns:a16="http://schemas.microsoft.com/office/drawing/2014/main" id="{E2F9659B-FDEF-44A8-B119-5F24BDF77FC8}"/>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09" name="Picture 408" descr="NewStar.png">
          <a:extLst>
            <a:ext uri="{FF2B5EF4-FFF2-40B4-BE49-F238E27FC236}">
              <a16:creationId xmlns:a16="http://schemas.microsoft.com/office/drawing/2014/main" id="{42822B6A-221E-4984-9365-8289F36E74FF}"/>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10" name="Picture 409" descr="NewStar.png">
          <a:extLst>
            <a:ext uri="{FF2B5EF4-FFF2-40B4-BE49-F238E27FC236}">
              <a16:creationId xmlns:a16="http://schemas.microsoft.com/office/drawing/2014/main" id="{64E9AD8F-A75E-49F4-9F72-1BF44C368FD3}"/>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11" name="Picture 410" descr="NewStar.png">
          <a:extLst>
            <a:ext uri="{FF2B5EF4-FFF2-40B4-BE49-F238E27FC236}">
              <a16:creationId xmlns:a16="http://schemas.microsoft.com/office/drawing/2014/main" id="{BC0D2BD4-7235-4BA3-B4E9-F77C0A5B8F63}"/>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12" name="Picture 411" descr="NewStar.png">
          <a:extLst>
            <a:ext uri="{FF2B5EF4-FFF2-40B4-BE49-F238E27FC236}">
              <a16:creationId xmlns:a16="http://schemas.microsoft.com/office/drawing/2014/main" id="{EE7582FA-8201-4DD2-BF10-BF8074563738}"/>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13" name="Picture 412" descr="NewStar.png">
          <a:extLst>
            <a:ext uri="{FF2B5EF4-FFF2-40B4-BE49-F238E27FC236}">
              <a16:creationId xmlns:a16="http://schemas.microsoft.com/office/drawing/2014/main" id="{B6EB5B28-3DAE-4C97-8A25-AA2F0C7DBA89}"/>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14" name="Picture 413" descr="NewStar.png">
          <a:extLst>
            <a:ext uri="{FF2B5EF4-FFF2-40B4-BE49-F238E27FC236}">
              <a16:creationId xmlns:a16="http://schemas.microsoft.com/office/drawing/2014/main" id="{33535688-6F70-4376-8F70-D5C7EDBA7BD9}"/>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15" name="Picture 414" descr="NewStar.png">
          <a:extLst>
            <a:ext uri="{FF2B5EF4-FFF2-40B4-BE49-F238E27FC236}">
              <a16:creationId xmlns:a16="http://schemas.microsoft.com/office/drawing/2014/main" id="{07CC4893-2804-4030-BBB9-0C16E2D147D2}"/>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16" name="Picture 415" descr="NewStar.png">
          <a:extLst>
            <a:ext uri="{FF2B5EF4-FFF2-40B4-BE49-F238E27FC236}">
              <a16:creationId xmlns:a16="http://schemas.microsoft.com/office/drawing/2014/main" id="{2C20F8EE-BA22-4E8F-88E7-DABD6F0CDEEB}"/>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17" name="Picture 416" descr="NewStar.png">
          <a:extLst>
            <a:ext uri="{FF2B5EF4-FFF2-40B4-BE49-F238E27FC236}">
              <a16:creationId xmlns:a16="http://schemas.microsoft.com/office/drawing/2014/main" id="{E3714AE8-31AE-4249-ACAF-B4C1471CF142}"/>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18" name="Picture 417" descr="NewStar.png">
          <a:extLst>
            <a:ext uri="{FF2B5EF4-FFF2-40B4-BE49-F238E27FC236}">
              <a16:creationId xmlns:a16="http://schemas.microsoft.com/office/drawing/2014/main" id="{B9126B4B-D338-4D86-B3D1-6CA4D1D001B1}"/>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19" name="Picture 418" descr="NewStar.png">
          <a:extLst>
            <a:ext uri="{FF2B5EF4-FFF2-40B4-BE49-F238E27FC236}">
              <a16:creationId xmlns:a16="http://schemas.microsoft.com/office/drawing/2014/main" id="{708C602A-B540-4ACC-BCB4-A055A304908B}"/>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20" name="Picture 419" descr="NewStar.png">
          <a:extLst>
            <a:ext uri="{FF2B5EF4-FFF2-40B4-BE49-F238E27FC236}">
              <a16:creationId xmlns:a16="http://schemas.microsoft.com/office/drawing/2014/main" id="{BF929408-70F9-47A8-83B3-FE743A8224E8}"/>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21" name="Picture 420" descr="NewStar.png">
          <a:extLst>
            <a:ext uri="{FF2B5EF4-FFF2-40B4-BE49-F238E27FC236}">
              <a16:creationId xmlns:a16="http://schemas.microsoft.com/office/drawing/2014/main" id="{59D9522D-D912-4D20-A153-9C541537CCD7}"/>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8</xdr:col>
      <xdr:colOff>140083</xdr:colOff>
      <xdr:row>47</xdr:row>
      <xdr:rowOff>35278</xdr:rowOff>
    </xdr:from>
    <xdr:ext cx="0" cy="294543"/>
    <xdr:pic>
      <xdr:nvPicPr>
        <xdr:cNvPr id="422" name="Picture 421" descr="NewStar.png">
          <a:extLst>
            <a:ext uri="{FF2B5EF4-FFF2-40B4-BE49-F238E27FC236}">
              <a16:creationId xmlns:a16="http://schemas.microsoft.com/office/drawing/2014/main" id="{6E7EC559-0ACB-42EF-97BE-1500ADD332D2}"/>
            </a:ext>
          </a:extLst>
        </xdr:cNvPr>
        <xdr:cNvPicPr>
          <a:picLocks/>
        </xdr:cNvPicPr>
      </xdr:nvPicPr>
      <xdr:blipFill>
        <a:blip xmlns:r="http://schemas.openxmlformats.org/officeDocument/2006/relationships" r:embed="rId1" cstate="print"/>
        <a:stretch>
          <a:fillRect/>
        </a:stretch>
      </xdr:blipFill>
      <xdr:spPr>
        <a:xfrm>
          <a:off x="7160008" y="8855428"/>
          <a:ext cx="0" cy="294543"/>
        </a:xfrm>
        <a:prstGeom prst="rect">
          <a:avLst/>
        </a:prstGeom>
      </xdr:spPr>
    </xdr:pic>
    <xdr:clientData/>
  </xdr:oneCellAnchor>
  <xdr:oneCellAnchor>
    <xdr:from>
      <xdr:col>6</xdr:col>
      <xdr:colOff>350043</xdr:colOff>
      <xdr:row>48</xdr:row>
      <xdr:rowOff>83344</xdr:rowOff>
    </xdr:from>
    <xdr:ext cx="0" cy="294543"/>
    <xdr:pic>
      <xdr:nvPicPr>
        <xdr:cNvPr id="326" name="Picture 325" descr="NewStar.png">
          <a:extLst>
            <a:ext uri="{FF2B5EF4-FFF2-40B4-BE49-F238E27FC236}">
              <a16:creationId xmlns:a16="http://schemas.microsoft.com/office/drawing/2014/main" id="{9EEAFF12-DA15-405C-904C-0C5F015E50A8}"/>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27" name="Picture 326" descr="NewStar.png">
          <a:extLst>
            <a:ext uri="{FF2B5EF4-FFF2-40B4-BE49-F238E27FC236}">
              <a16:creationId xmlns:a16="http://schemas.microsoft.com/office/drawing/2014/main" id="{9BD1B59A-DF63-4762-B3B2-9881CB52F153}"/>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28" name="Picture 327" descr="NewStar.png">
          <a:extLst>
            <a:ext uri="{FF2B5EF4-FFF2-40B4-BE49-F238E27FC236}">
              <a16:creationId xmlns:a16="http://schemas.microsoft.com/office/drawing/2014/main" id="{AA051BE7-9C72-4279-9E32-619828E38C47}"/>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29" name="Picture 328" descr="NewStar.png">
          <a:extLst>
            <a:ext uri="{FF2B5EF4-FFF2-40B4-BE49-F238E27FC236}">
              <a16:creationId xmlns:a16="http://schemas.microsoft.com/office/drawing/2014/main" id="{F7F485BC-B9A3-4313-8856-D8D950A30EA5}"/>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30" name="Picture 329" descr="NewStar.png">
          <a:extLst>
            <a:ext uri="{FF2B5EF4-FFF2-40B4-BE49-F238E27FC236}">
              <a16:creationId xmlns:a16="http://schemas.microsoft.com/office/drawing/2014/main" id="{C96F860E-A210-4F68-A81B-F114DAC963D5}"/>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31" name="Picture 330" descr="NewStar.png">
          <a:extLst>
            <a:ext uri="{FF2B5EF4-FFF2-40B4-BE49-F238E27FC236}">
              <a16:creationId xmlns:a16="http://schemas.microsoft.com/office/drawing/2014/main" id="{118AC452-5CA4-436E-8246-92A81DE9CA86}"/>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32" name="Picture 331" descr="NewStar.png">
          <a:extLst>
            <a:ext uri="{FF2B5EF4-FFF2-40B4-BE49-F238E27FC236}">
              <a16:creationId xmlns:a16="http://schemas.microsoft.com/office/drawing/2014/main" id="{168A2F49-086A-49B6-AB93-B8CE0AA984DF}"/>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33" name="Picture 332" descr="NewStar.png">
          <a:extLst>
            <a:ext uri="{FF2B5EF4-FFF2-40B4-BE49-F238E27FC236}">
              <a16:creationId xmlns:a16="http://schemas.microsoft.com/office/drawing/2014/main" id="{F136316E-AB8F-4ED6-A684-0EEAB63D23D1}"/>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34" name="Picture 333" descr="NewStar.png">
          <a:extLst>
            <a:ext uri="{FF2B5EF4-FFF2-40B4-BE49-F238E27FC236}">
              <a16:creationId xmlns:a16="http://schemas.microsoft.com/office/drawing/2014/main" id="{268EB5B2-D1A4-468C-85E8-250842FD3C9C}"/>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35" name="Picture 334" descr="NewStar.png">
          <a:extLst>
            <a:ext uri="{FF2B5EF4-FFF2-40B4-BE49-F238E27FC236}">
              <a16:creationId xmlns:a16="http://schemas.microsoft.com/office/drawing/2014/main" id="{A05DDDBF-4B93-4FA4-A344-A004C2AA1A79}"/>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36" name="Picture 335" descr="NewStar.png">
          <a:extLst>
            <a:ext uri="{FF2B5EF4-FFF2-40B4-BE49-F238E27FC236}">
              <a16:creationId xmlns:a16="http://schemas.microsoft.com/office/drawing/2014/main" id="{5E4B4B1F-1143-4E07-9BC9-356876DD2D92}"/>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37" name="Picture 336" descr="NewStar.png">
          <a:extLst>
            <a:ext uri="{FF2B5EF4-FFF2-40B4-BE49-F238E27FC236}">
              <a16:creationId xmlns:a16="http://schemas.microsoft.com/office/drawing/2014/main" id="{4743A546-CB20-4686-BF15-D794FA19EE08}"/>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38" name="Picture 337" descr="NewStar.png">
          <a:extLst>
            <a:ext uri="{FF2B5EF4-FFF2-40B4-BE49-F238E27FC236}">
              <a16:creationId xmlns:a16="http://schemas.microsoft.com/office/drawing/2014/main" id="{2687DDC9-39BB-4A97-AB29-F989E14A51D2}"/>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39" name="Picture 338" descr="NewStar.png">
          <a:extLst>
            <a:ext uri="{FF2B5EF4-FFF2-40B4-BE49-F238E27FC236}">
              <a16:creationId xmlns:a16="http://schemas.microsoft.com/office/drawing/2014/main" id="{7E8C76C0-12A7-4F53-86B5-8687A4566009}"/>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40" name="Picture 339" descr="NewStar.png">
          <a:extLst>
            <a:ext uri="{FF2B5EF4-FFF2-40B4-BE49-F238E27FC236}">
              <a16:creationId xmlns:a16="http://schemas.microsoft.com/office/drawing/2014/main" id="{9818A0A6-E9C2-444D-A92E-98AE94A3287A}"/>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8</xdr:col>
      <xdr:colOff>140083</xdr:colOff>
      <xdr:row>47</xdr:row>
      <xdr:rowOff>35278</xdr:rowOff>
    </xdr:from>
    <xdr:ext cx="0" cy="294543"/>
    <xdr:pic>
      <xdr:nvPicPr>
        <xdr:cNvPr id="341" name="Picture 340" descr="NewStar.png">
          <a:extLst>
            <a:ext uri="{FF2B5EF4-FFF2-40B4-BE49-F238E27FC236}">
              <a16:creationId xmlns:a16="http://schemas.microsoft.com/office/drawing/2014/main" id="{9BEAE628-01A1-4728-A4E4-40D2202EBA92}"/>
            </a:ext>
          </a:extLst>
        </xdr:cNvPr>
        <xdr:cNvPicPr>
          <a:picLocks/>
        </xdr:cNvPicPr>
      </xdr:nvPicPr>
      <xdr:blipFill>
        <a:blip xmlns:r="http://schemas.openxmlformats.org/officeDocument/2006/relationships" r:embed="rId1" cstate="print"/>
        <a:stretch>
          <a:fillRect/>
        </a:stretch>
      </xdr:blipFill>
      <xdr:spPr>
        <a:xfrm>
          <a:off x="7160008" y="8855428"/>
          <a:ext cx="0" cy="294543"/>
        </a:xfrm>
        <a:prstGeom prst="rect">
          <a:avLst/>
        </a:prstGeom>
      </xdr:spPr>
    </xdr:pic>
    <xdr:clientData/>
  </xdr:oneCellAnchor>
  <xdr:oneCellAnchor>
    <xdr:from>
      <xdr:col>6</xdr:col>
      <xdr:colOff>350043</xdr:colOff>
      <xdr:row>48</xdr:row>
      <xdr:rowOff>83344</xdr:rowOff>
    </xdr:from>
    <xdr:ext cx="0" cy="294543"/>
    <xdr:pic>
      <xdr:nvPicPr>
        <xdr:cNvPr id="342" name="Picture 341" descr="NewStar.png">
          <a:extLst>
            <a:ext uri="{FF2B5EF4-FFF2-40B4-BE49-F238E27FC236}">
              <a16:creationId xmlns:a16="http://schemas.microsoft.com/office/drawing/2014/main" id="{7FF1611D-1FDC-4375-8A91-3F0F551C8D65}"/>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43" name="Picture 342" descr="NewStar.png">
          <a:extLst>
            <a:ext uri="{FF2B5EF4-FFF2-40B4-BE49-F238E27FC236}">
              <a16:creationId xmlns:a16="http://schemas.microsoft.com/office/drawing/2014/main" id="{0A6608F3-697C-4DD5-B272-9D65FA7754FA}"/>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44" name="Picture 343" descr="NewStar.png">
          <a:extLst>
            <a:ext uri="{FF2B5EF4-FFF2-40B4-BE49-F238E27FC236}">
              <a16:creationId xmlns:a16="http://schemas.microsoft.com/office/drawing/2014/main" id="{0941D533-98AE-466A-9656-5ECB89FB3225}"/>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45" name="Picture 344" descr="NewStar.png">
          <a:extLst>
            <a:ext uri="{FF2B5EF4-FFF2-40B4-BE49-F238E27FC236}">
              <a16:creationId xmlns:a16="http://schemas.microsoft.com/office/drawing/2014/main" id="{90244C53-B859-4A57-801D-7B2CC820A6F0}"/>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46" name="Picture 345" descr="NewStar.png">
          <a:extLst>
            <a:ext uri="{FF2B5EF4-FFF2-40B4-BE49-F238E27FC236}">
              <a16:creationId xmlns:a16="http://schemas.microsoft.com/office/drawing/2014/main" id="{BA410011-821E-49DB-B184-520C34AB4A73}"/>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47" name="Picture 346" descr="NewStar.png">
          <a:extLst>
            <a:ext uri="{FF2B5EF4-FFF2-40B4-BE49-F238E27FC236}">
              <a16:creationId xmlns:a16="http://schemas.microsoft.com/office/drawing/2014/main" id="{8C49CBEB-64D8-4F5E-838E-C74A7BE14670}"/>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48" name="Picture 347" descr="NewStar.png">
          <a:extLst>
            <a:ext uri="{FF2B5EF4-FFF2-40B4-BE49-F238E27FC236}">
              <a16:creationId xmlns:a16="http://schemas.microsoft.com/office/drawing/2014/main" id="{32E2552F-45DC-4C2D-A823-8B7CF2B99873}"/>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49" name="Picture 348" descr="NewStar.png">
          <a:extLst>
            <a:ext uri="{FF2B5EF4-FFF2-40B4-BE49-F238E27FC236}">
              <a16:creationId xmlns:a16="http://schemas.microsoft.com/office/drawing/2014/main" id="{B84F30BC-EBDB-4958-AE24-5955512F6C1F}"/>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50" name="Picture 349" descr="NewStar.png">
          <a:extLst>
            <a:ext uri="{FF2B5EF4-FFF2-40B4-BE49-F238E27FC236}">
              <a16:creationId xmlns:a16="http://schemas.microsoft.com/office/drawing/2014/main" id="{02CC355F-06A8-403D-9CBE-0B67E1AF8AD5}"/>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51" name="Picture 350" descr="NewStar.png">
          <a:extLst>
            <a:ext uri="{FF2B5EF4-FFF2-40B4-BE49-F238E27FC236}">
              <a16:creationId xmlns:a16="http://schemas.microsoft.com/office/drawing/2014/main" id="{BE5803E1-E42E-452A-9AB7-C0412084768A}"/>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52" name="Picture 351" descr="NewStar.png">
          <a:extLst>
            <a:ext uri="{FF2B5EF4-FFF2-40B4-BE49-F238E27FC236}">
              <a16:creationId xmlns:a16="http://schemas.microsoft.com/office/drawing/2014/main" id="{341735F1-5713-4AE8-8F30-73B926F04516}"/>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53" name="Picture 352" descr="NewStar.png">
          <a:extLst>
            <a:ext uri="{FF2B5EF4-FFF2-40B4-BE49-F238E27FC236}">
              <a16:creationId xmlns:a16="http://schemas.microsoft.com/office/drawing/2014/main" id="{1794B7B4-3E12-4749-AC91-B107789F5234}"/>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54" name="Picture 353" descr="NewStar.png">
          <a:extLst>
            <a:ext uri="{FF2B5EF4-FFF2-40B4-BE49-F238E27FC236}">
              <a16:creationId xmlns:a16="http://schemas.microsoft.com/office/drawing/2014/main" id="{F4F951D2-B37F-4EB8-81CF-E644BA3C75CF}"/>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355" name="Picture 354" descr="NewStar.png">
          <a:extLst>
            <a:ext uri="{FF2B5EF4-FFF2-40B4-BE49-F238E27FC236}">
              <a16:creationId xmlns:a16="http://schemas.microsoft.com/office/drawing/2014/main" id="{15B553C8-EC06-451C-955B-96EE8554BA73}"/>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356" name="Picture 355" descr="NewStar.png">
          <a:extLst>
            <a:ext uri="{FF2B5EF4-FFF2-40B4-BE49-F238E27FC236}">
              <a16:creationId xmlns:a16="http://schemas.microsoft.com/office/drawing/2014/main" id="{95E01EC0-7893-46AA-89CB-6B976689744D}"/>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8</xdr:col>
      <xdr:colOff>140083</xdr:colOff>
      <xdr:row>47</xdr:row>
      <xdr:rowOff>35278</xdr:rowOff>
    </xdr:from>
    <xdr:ext cx="0" cy="294543"/>
    <xdr:pic>
      <xdr:nvPicPr>
        <xdr:cNvPr id="357" name="Picture 356" descr="NewStar.png">
          <a:extLst>
            <a:ext uri="{FF2B5EF4-FFF2-40B4-BE49-F238E27FC236}">
              <a16:creationId xmlns:a16="http://schemas.microsoft.com/office/drawing/2014/main" id="{DD7825E8-2552-415F-A326-263D4E71F901}"/>
            </a:ext>
          </a:extLst>
        </xdr:cNvPr>
        <xdr:cNvPicPr>
          <a:picLocks/>
        </xdr:cNvPicPr>
      </xdr:nvPicPr>
      <xdr:blipFill>
        <a:blip xmlns:r="http://schemas.openxmlformats.org/officeDocument/2006/relationships" r:embed="rId1" cstate="print"/>
        <a:stretch>
          <a:fillRect/>
        </a:stretch>
      </xdr:blipFill>
      <xdr:spPr>
        <a:xfrm>
          <a:off x="7160008" y="8855428"/>
          <a:ext cx="0" cy="294543"/>
        </a:xfrm>
        <a:prstGeom prst="rect">
          <a:avLst/>
        </a:prstGeom>
      </xdr:spPr>
    </xdr:pic>
    <xdr:clientData/>
  </xdr:oneCellAnchor>
  <xdr:oneCellAnchor>
    <xdr:from>
      <xdr:col>6</xdr:col>
      <xdr:colOff>350043</xdr:colOff>
      <xdr:row>48</xdr:row>
      <xdr:rowOff>83344</xdr:rowOff>
    </xdr:from>
    <xdr:ext cx="0" cy="294543"/>
    <xdr:pic>
      <xdr:nvPicPr>
        <xdr:cNvPr id="358" name="Picture 357" descr="NewStar.png">
          <a:extLst>
            <a:ext uri="{FF2B5EF4-FFF2-40B4-BE49-F238E27FC236}">
              <a16:creationId xmlns:a16="http://schemas.microsoft.com/office/drawing/2014/main" id="{913AD77E-6168-4635-9713-E42DE637A92C}"/>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59" name="Picture 358" descr="NewStar.png">
          <a:extLst>
            <a:ext uri="{FF2B5EF4-FFF2-40B4-BE49-F238E27FC236}">
              <a16:creationId xmlns:a16="http://schemas.microsoft.com/office/drawing/2014/main" id="{D3BB6290-F3DB-4973-BB45-2BA504BF00CD}"/>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60" name="Picture 359" descr="NewStar.png">
          <a:extLst>
            <a:ext uri="{FF2B5EF4-FFF2-40B4-BE49-F238E27FC236}">
              <a16:creationId xmlns:a16="http://schemas.microsoft.com/office/drawing/2014/main" id="{5D61F829-689A-49CC-9756-D5104F0713BB}"/>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61" name="Picture 360" descr="NewStar.png">
          <a:extLst>
            <a:ext uri="{FF2B5EF4-FFF2-40B4-BE49-F238E27FC236}">
              <a16:creationId xmlns:a16="http://schemas.microsoft.com/office/drawing/2014/main" id="{0E498CB2-ED30-429B-9B42-9B07DD07AA47}"/>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62" name="Picture 361" descr="NewStar.png">
          <a:extLst>
            <a:ext uri="{FF2B5EF4-FFF2-40B4-BE49-F238E27FC236}">
              <a16:creationId xmlns:a16="http://schemas.microsoft.com/office/drawing/2014/main" id="{CA4D9017-CF1D-44A3-976C-916E5CD1EF6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63" name="Picture 362" descr="NewStar.png">
          <a:extLst>
            <a:ext uri="{FF2B5EF4-FFF2-40B4-BE49-F238E27FC236}">
              <a16:creationId xmlns:a16="http://schemas.microsoft.com/office/drawing/2014/main" id="{421E6DE7-65DF-473D-A76E-C0DD274E5B31}"/>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64" name="Picture 363" descr="NewStar.png">
          <a:extLst>
            <a:ext uri="{FF2B5EF4-FFF2-40B4-BE49-F238E27FC236}">
              <a16:creationId xmlns:a16="http://schemas.microsoft.com/office/drawing/2014/main" id="{B3484737-C17B-4C5C-8024-E81B0D3C5C75}"/>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65" name="Picture 364" descr="NewStar.png">
          <a:extLst>
            <a:ext uri="{FF2B5EF4-FFF2-40B4-BE49-F238E27FC236}">
              <a16:creationId xmlns:a16="http://schemas.microsoft.com/office/drawing/2014/main" id="{14764E38-519F-45E9-9089-5D9595F008E3}"/>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66" name="Picture 365" descr="NewStar.png">
          <a:extLst>
            <a:ext uri="{FF2B5EF4-FFF2-40B4-BE49-F238E27FC236}">
              <a16:creationId xmlns:a16="http://schemas.microsoft.com/office/drawing/2014/main" id="{9A8DF015-BF0F-4F41-B476-ACEE8868B0D4}"/>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67" name="Picture 366" descr="NewStar.png">
          <a:extLst>
            <a:ext uri="{FF2B5EF4-FFF2-40B4-BE49-F238E27FC236}">
              <a16:creationId xmlns:a16="http://schemas.microsoft.com/office/drawing/2014/main" id="{EA371653-2DA5-49DC-9CEF-E38A75A42C1F}"/>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68" name="Picture 367" descr="NewStar.png">
          <a:extLst>
            <a:ext uri="{FF2B5EF4-FFF2-40B4-BE49-F238E27FC236}">
              <a16:creationId xmlns:a16="http://schemas.microsoft.com/office/drawing/2014/main" id="{67F66BDD-1630-42E3-A39F-9AA773950435}"/>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69" name="Picture 368" descr="NewStar.png">
          <a:extLst>
            <a:ext uri="{FF2B5EF4-FFF2-40B4-BE49-F238E27FC236}">
              <a16:creationId xmlns:a16="http://schemas.microsoft.com/office/drawing/2014/main" id="{608AD3D3-1D7C-4438-AF3C-AB5E7F1F6C63}"/>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70" name="Picture 369" descr="NewStar.png">
          <a:extLst>
            <a:ext uri="{FF2B5EF4-FFF2-40B4-BE49-F238E27FC236}">
              <a16:creationId xmlns:a16="http://schemas.microsoft.com/office/drawing/2014/main" id="{B7B7D744-DECB-443F-9E63-8BC9C51C6F2B}"/>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71" name="Picture 370" descr="NewStar.png">
          <a:extLst>
            <a:ext uri="{FF2B5EF4-FFF2-40B4-BE49-F238E27FC236}">
              <a16:creationId xmlns:a16="http://schemas.microsoft.com/office/drawing/2014/main" id="{B447ECDC-D73B-4C11-8187-0184F0838DEE}"/>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72" name="Picture 371" descr="NewStar.png">
          <a:extLst>
            <a:ext uri="{FF2B5EF4-FFF2-40B4-BE49-F238E27FC236}">
              <a16:creationId xmlns:a16="http://schemas.microsoft.com/office/drawing/2014/main" id="{2F3B9F8F-1D2E-4193-903B-3731658345E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8</xdr:col>
      <xdr:colOff>140083</xdr:colOff>
      <xdr:row>47</xdr:row>
      <xdr:rowOff>35278</xdr:rowOff>
    </xdr:from>
    <xdr:ext cx="0" cy="294543"/>
    <xdr:pic>
      <xdr:nvPicPr>
        <xdr:cNvPr id="373" name="Picture 372" descr="NewStar.png">
          <a:extLst>
            <a:ext uri="{FF2B5EF4-FFF2-40B4-BE49-F238E27FC236}">
              <a16:creationId xmlns:a16="http://schemas.microsoft.com/office/drawing/2014/main" id="{B0E747C9-16F9-4427-8C5D-0A330EFC3EC4}"/>
            </a:ext>
          </a:extLst>
        </xdr:cNvPr>
        <xdr:cNvPicPr>
          <a:picLocks/>
        </xdr:cNvPicPr>
      </xdr:nvPicPr>
      <xdr:blipFill>
        <a:blip xmlns:r="http://schemas.openxmlformats.org/officeDocument/2006/relationships" r:embed="rId1" cstate="print"/>
        <a:stretch>
          <a:fillRect/>
        </a:stretch>
      </xdr:blipFill>
      <xdr:spPr>
        <a:xfrm>
          <a:off x="7515608" y="8483953"/>
          <a:ext cx="0" cy="294543"/>
        </a:xfrm>
        <a:prstGeom prst="rect">
          <a:avLst/>
        </a:prstGeom>
      </xdr:spPr>
    </xdr:pic>
    <xdr:clientData/>
  </xdr:oneCellAnchor>
  <xdr:oneCellAnchor>
    <xdr:from>
      <xdr:col>6</xdr:col>
      <xdr:colOff>350043</xdr:colOff>
      <xdr:row>48</xdr:row>
      <xdr:rowOff>83344</xdr:rowOff>
    </xdr:from>
    <xdr:ext cx="0" cy="294543"/>
    <xdr:pic>
      <xdr:nvPicPr>
        <xdr:cNvPr id="374" name="Picture 373" descr="NewStar.png">
          <a:extLst>
            <a:ext uri="{FF2B5EF4-FFF2-40B4-BE49-F238E27FC236}">
              <a16:creationId xmlns:a16="http://schemas.microsoft.com/office/drawing/2014/main" id="{7EFA75C1-0AB6-4ADF-AFCB-17DD6DC7D2D2}"/>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5</xdr:col>
      <xdr:colOff>350043</xdr:colOff>
      <xdr:row>48</xdr:row>
      <xdr:rowOff>83344</xdr:rowOff>
    </xdr:from>
    <xdr:ext cx="0" cy="294543"/>
    <xdr:pic>
      <xdr:nvPicPr>
        <xdr:cNvPr id="375" name="Picture 374" descr="NewStar.png">
          <a:extLst>
            <a:ext uri="{FF2B5EF4-FFF2-40B4-BE49-F238E27FC236}">
              <a16:creationId xmlns:a16="http://schemas.microsoft.com/office/drawing/2014/main" id="{56EC5180-2600-472E-A13B-1A2F96755E65}"/>
            </a:ext>
          </a:extLst>
        </xdr:cNvPr>
        <xdr:cNvPicPr>
          <a:picLocks/>
        </xdr:cNvPicPr>
      </xdr:nvPicPr>
      <xdr:blipFill>
        <a:blip xmlns:r="http://schemas.openxmlformats.org/officeDocument/2006/relationships" r:embed="rId1" cstate="print"/>
        <a:stretch>
          <a:fillRect/>
        </a:stretch>
      </xdr:blipFill>
      <xdr:spPr>
        <a:xfrm>
          <a:off x="5428773" y="8724424"/>
          <a:ext cx="0" cy="294543"/>
        </a:xfrm>
        <a:prstGeom prst="rect">
          <a:avLst/>
        </a:prstGeom>
      </xdr:spPr>
    </xdr:pic>
    <xdr:clientData/>
  </xdr:oneCellAnchor>
  <xdr:oneCellAnchor>
    <xdr:from>
      <xdr:col>6</xdr:col>
      <xdr:colOff>350043</xdr:colOff>
      <xdr:row>48</xdr:row>
      <xdr:rowOff>83344</xdr:rowOff>
    </xdr:from>
    <xdr:ext cx="0" cy="294543"/>
    <xdr:pic>
      <xdr:nvPicPr>
        <xdr:cNvPr id="376" name="Picture 375" descr="NewStar.png">
          <a:extLst>
            <a:ext uri="{FF2B5EF4-FFF2-40B4-BE49-F238E27FC236}">
              <a16:creationId xmlns:a16="http://schemas.microsoft.com/office/drawing/2014/main" id="{67A0E852-F260-415F-BCCF-6C43B0921529}"/>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5</xdr:col>
      <xdr:colOff>350043</xdr:colOff>
      <xdr:row>48</xdr:row>
      <xdr:rowOff>83344</xdr:rowOff>
    </xdr:from>
    <xdr:ext cx="0" cy="294543"/>
    <xdr:pic>
      <xdr:nvPicPr>
        <xdr:cNvPr id="377" name="Picture 376" descr="NewStar.png">
          <a:extLst>
            <a:ext uri="{FF2B5EF4-FFF2-40B4-BE49-F238E27FC236}">
              <a16:creationId xmlns:a16="http://schemas.microsoft.com/office/drawing/2014/main" id="{6714B9C3-63EC-4776-8C66-FD12BB253CB9}"/>
            </a:ext>
          </a:extLst>
        </xdr:cNvPr>
        <xdr:cNvPicPr>
          <a:picLocks/>
        </xdr:cNvPicPr>
      </xdr:nvPicPr>
      <xdr:blipFill>
        <a:blip xmlns:r="http://schemas.openxmlformats.org/officeDocument/2006/relationships" r:embed="rId1" cstate="print"/>
        <a:stretch>
          <a:fillRect/>
        </a:stretch>
      </xdr:blipFill>
      <xdr:spPr>
        <a:xfrm>
          <a:off x="5428773" y="8724424"/>
          <a:ext cx="0" cy="294543"/>
        </a:xfrm>
        <a:prstGeom prst="rect">
          <a:avLst/>
        </a:prstGeom>
      </xdr:spPr>
    </xdr:pic>
    <xdr:clientData/>
  </xdr:oneCellAnchor>
  <xdr:oneCellAnchor>
    <xdr:from>
      <xdr:col>6</xdr:col>
      <xdr:colOff>350043</xdr:colOff>
      <xdr:row>48</xdr:row>
      <xdr:rowOff>83344</xdr:rowOff>
    </xdr:from>
    <xdr:ext cx="0" cy="294543"/>
    <xdr:pic>
      <xdr:nvPicPr>
        <xdr:cNvPr id="378" name="Picture 377" descr="NewStar.png">
          <a:extLst>
            <a:ext uri="{FF2B5EF4-FFF2-40B4-BE49-F238E27FC236}">
              <a16:creationId xmlns:a16="http://schemas.microsoft.com/office/drawing/2014/main" id="{2F642DD3-38DA-410F-BC59-D2176112751C}"/>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5</xdr:col>
      <xdr:colOff>350043</xdr:colOff>
      <xdr:row>48</xdr:row>
      <xdr:rowOff>83344</xdr:rowOff>
    </xdr:from>
    <xdr:ext cx="0" cy="294543"/>
    <xdr:pic>
      <xdr:nvPicPr>
        <xdr:cNvPr id="379" name="Picture 378" descr="NewStar.png">
          <a:extLst>
            <a:ext uri="{FF2B5EF4-FFF2-40B4-BE49-F238E27FC236}">
              <a16:creationId xmlns:a16="http://schemas.microsoft.com/office/drawing/2014/main" id="{876B8A99-DAE0-47BC-8BEE-07ADD6D683FC}"/>
            </a:ext>
          </a:extLst>
        </xdr:cNvPr>
        <xdr:cNvPicPr>
          <a:picLocks/>
        </xdr:cNvPicPr>
      </xdr:nvPicPr>
      <xdr:blipFill>
        <a:blip xmlns:r="http://schemas.openxmlformats.org/officeDocument/2006/relationships" r:embed="rId1" cstate="print"/>
        <a:stretch>
          <a:fillRect/>
        </a:stretch>
      </xdr:blipFill>
      <xdr:spPr>
        <a:xfrm>
          <a:off x="5428773" y="8724424"/>
          <a:ext cx="0" cy="294543"/>
        </a:xfrm>
        <a:prstGeom prst="rect">
          <a:avLst/>
        </a:prstGeom>
      </xdr:spPr>
    </xdr:pic>
    <xdr:clientData/>
  </xdr:oneCellAnchor>
  <xdr:oneCellAnchor>
    <xdr:from>
      <xdr:col>6</xdr:col>
      <xdr:colOff>350043</xdr:colOff>
      <xdr:row>48</xdr:row>
      <xdr:rowOff>83344</xdr:rowOff>
    </xdr:from>
    <xdr:ext cx="0" cy="294543"/>
    <xdr:pic>
      <xdr:nvPicPr>
        <xdr:cNvPr id="380" name="Picture 379" descr="NewStar.png">
          <a:extLst>
            <a:ext uri="{FF2B5EF4-FFF2-40B4-BE49-F238E27FC236}">
              <a16:creationId xmlns:a16="http://schemas.microsoft.com/office/drawing/2014/main" id="{FD63F2D0-A418-4CB1-BD18-77F1B0901B85}"/>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5</xdr:col>
      <xdr:colOff>350043</xdr:colOff>
      <xdr:row>48</xdr:row>
      <xdr:rowOff>83344</xdr:rowOff>
    </xdr:from>
    <xdr:ext cx="0" cy="294543"/>
    <xdr:pic>
      <xdr:nvPicPr>
        <xdr:cNvPr id="381" name="Picture 380" descr="NewStar.png">
          <a:extLst>
            <a:ext uri="{FF2B5EF4-FFF2-40B4-BE49-F238E27FC236}">
              <a16:creationId xmlns:a16="http://schemas.microsoft.com/office/drawing/2014/main" id="{33454DD5-9975-461C-A4D8-FDB5A0BA5C59}"/>
            </a:ext>
          </a:extLst>
        </xdr:cNvPr>
        <xdr:cNvPicPr>
          <a:picLocks/>
        </xdr:cNvPicPr>
      </xdr:nvPicPr>
      <xdr:blipFill>
        <a:blip xmlns:r="http://schemas.openxmlformats.org/officeDocument/2006/relationships" r:embed="rId1" cstate="print"/>
        <a:stretch>
          <a:fillRect/>
        </a:stretch>
      </xdr:blipFill>
      <xdr:spPr>
        <a:xfrm>
          <a:off x="5428773" y="8724424"/>
          <a:ext cx="0" cy="294543"/>
        </a:xfrm>
        <a:prstGeom prst="rect">
          <a:avLst/>
        </a:prstGeom>
      </xdr:spPr>
    </xdr:pic>
    <xdr:clientData/>
  </xdr:oneCellAnchor>
  <xdr:oneCellAnchor>
    <xdr:from>
      <xdr:col>6</xdr:col>
      <xdr:colOff>350043</xdr:colOff>
      <xdr:row>48</xdr:row>
      <xdr:rowOff>83344</xdr:rowOff>
    </xdr:from>
    <xdr:ext cx="0" cy="294543"/>
    <xdr:pic>
      <xdr:nvPicPr>
        <xdr:cNvPr id="382" name="Picture 381" descr="NewStar.png">
          <a:extLst>
            <a:ext uri="{FF2B5EF4-FFF2-40B4-BE49-F238E27FC236}">
              <a16:creationId xmlns:a16="http://schemas.microsoft.com/office/drawing/2014/main" id="{665AEE28-6BF9-4ED7-B9D3-099BE23C8EB7}"/>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5</xdr:col>
      <xdr:colOff>350043</xdr:colOff>
      <xdr:row>48</xdr:row>
      <xdr:rowOff>83344</xdr:rowOff>
    </xdr:from>
    <xdr:ext cx="0" cy="294543"/>
    <xdr:pic>
      <xdr:nvPicPr>
        <xdr:cNvPr id="383" name="Picture 382" descr="NewStar.png">
          <a:extLst>
            <a:ext uri="{FF2B5EF4-FFF2-40B4-BE49-F238E27FC236}">
              <a16:creationId xmlns:a16="http://schemas.microsoft.com/office/drawing/2014/main" id="{ABE5DEBB-4FE8-483D-B087-DE48E82FF0C2}"/>
            </a:ext>
          </a:extLst>
        </xdr:cNvPr>
        <xdr:cNvPicPr>
          <a:picLocks/>
        </xdr:cNvPicPr>
      </xdr:nvPicPr>
      <xdr:blipFill>
        <a:blip xmlns:r="http://schemas.openxmlformats.org/officeDocument/2006/relationships" r:embed="rId1" cstate="print"/>
        <a:stretch>
          <a:fillRect/>
        </a:stretch>
      </xdr:blipFill>
      <xdr:spPr>
        <a:xfrm>
          <a:off x="5428773" y="8724424"/>
          <a:ext cx="0" cy="294543"/>
        </a:xfrm>
        <a:prstGeom prst="rect">
          <a:avLst/>
        </a:prstGeom>
      </xdr:spPr>
    </xdr:pic>
    <xdr:clientData/>
  </xdr:oneCellAnchor>
  <xdr:oneCellAnchor>
    <xdr:from>
      <xdr:col>6</xdr:col>
      <xdr:colOff>350043</xdr:colOff>
      <xdr:row>48</xdr:row>
      <xdr:rowOff>83344</xdr:rowOff>
    </xdr:from>
    <xdr:ext cx="0" cy="294543"/>
    <xdr:pic>
      <xdr:nvPicPr>
        <xdr:cNvPr id="384" name="Picture 383" descr="NewStar.png">
          <a:extLst>
            <a:ext uri="{FF2B5EF4-FFF2-40B4-BE49-F238E27FC236}">
              <a16:creationId xmlns:a16="http://schemas.microsoft.com/office/drawing/2014/main" id="{9F488ADB-BBAA-4582-BD17-C10FAF93C42A}"/>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5</xdr:col>
      <xdr:colOff>350043</xdr:colOff>
      <xdr:row>48</xdr:row>
      <xdr:rowOff>83344</xdr:rowOff>
    </xdr:from>
    <xdr:ext cx="0" cy="294543"/>
    <xdr:pic>
      <xdr:nvPicPr>
        <xdr:cNvPr id="385" name="Picture 384" descr="NewStar.png">
          <a:extLst>
            <a:ext uri="{FF2B5EF4-FFF2-40B4-BE49-F238E27FC236}">
              <a16:creationId xmlns:a16="http://schemas.microsoft.com/office/drawing/2014/main" id="{0F540BEE-2686-477A-A269-5EA37A7B3059}"/>
            </a:ext>
          </a:extLst>
        </xdr:cNvPr>
        <xdr:cNvPicPr>
          <a:picLocks/>
        </xdr:cNvPicPr>
      </xdr:nvPicPr>
      <xdr:blipFill>
        <a:blip xmlns:r="http://schemas.openxmlformats.org/officeDocument/2006/relationships" r:embed="rId1" cstate="print"/>
        <a:stretch>
          <a:fillRect/>
        </a:stretch>
      </xdr:blipFill>
      <xdr:spPr>
        <a:xfrm>
          <a:off x="5428773" y="8724424"/>
          <a:ext cx="0" cy="294543"/>
        </a:xfrm>
        <a:prstGeom prst="rect">
          <a:avLst/>
        </a:prstGeom>
      </xdr:spPr>
    </xdr:pic>
    <xdr:clientData/>
  </xdr:oneCellAnchor>
  <xdr:oneCellAnchor>
    <xdr:from>
      <xdr:col>6</xdr:col>
      <xdr:colOff>350043</xdr:colOff>
      <xdr:row>48</xdr:row>
      <xdr:rowOff>83344</xdr:rowOff>
    </xdr:from>
    <xdr:ext cx="0" cy="294543"/>
    <xdr:pic>
      <xdr:nvPicPr>
        <xdr:cNvPr id="386" name="Picture 385" descr="NewStar.png">
          <a:extLst>
            <a:ext uri="{FF2B5EF4-FFF2-40B4-BE49-F238E27FC236}">
              <a16:creationId xmlns:a16="http://schemas.microsoft.com/office/drawing/2014/main" id="{02D90604-9C60-4139-AFFA-E8748006E54C}"/>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5</xdr:col>
      <xdr:colOff>350043</xdr:colOff>
      <xdr:row>48</xdr:row>
      <xdr:rowOff>83344</xdr:rowOff>
    </xdr:from>
    <xdr:ext cx="0" cy="294543"/>
    <xdr:pic>
      <xdr:nvPicPr>
        <xdr:cNvPr id="387" name="Picture 386" descr="NewStar.png">
          <a:extLst>
            <a:ext uri="{FF2B5EF4-FFF2-40B4-BE49-F238E27FC236}">
              <a16:creationId xmlns:a16="http://schemas.microsoft.com/office/drawing/2014/main" id="{386C3886-8D35-4664-B939-89A083A03B6C}"/>
            </a:ext>
          </a:extLst>
        </xdr:cNvPr>
        <xdr:cNvPicPr>
          <a:picLocks/>
        </xdr:cNvPicPr>
      </xdr:nvPicPr>
      <xdr:blipFill>
        <a:blip xmlns:r="http://schemas.openxmlformats.org/officeDocument/2006/relationships" r:embed="rId1" cstate="print"/>
        <a:stretch>
          <a:fillRect/>
        </a:stretch>
      </xdr:blipFill>
      <xdr:spPr>
        <a:xfrm>
          <a:off x="5428773" y="8724424"/>
          <a:ext cx="0" cy="294543"/>
        </a:xfrm>
        <a:prstGeom prst="rect">
          <a:avLst/>
        </a:prstGeom>
      </xdr:spPr>
    </xdr:pic>
    <xdr:clientData/>
  </xdr:oneCellAnchor>
  <xdr:oneCellAnchor>
    <xdr:from>
      <xdr:col>6</xdr:col>
      <xdr:colOff>350043</xdr:colOff>
      <xdr:row>48</xdr:row>
      <xdr:rowOff>83344</xdr:rowOff>
    </xdr:from>
    <xdr:ext cx="0" cy="294543"/>
    <xdr:pic>
      <xdr:nvPicPr>
        <xdr:cNvPr id="388" name="Picture 387" descr="NewStar.png">
          <a:extLst>
            <a:ext uri="{FF2B5EF4-FFF2-40B4-BE49-F238E27FC236}">
              <a16:creationId xmlns:a16="http://schemas.microsoft.com/office/drawing/2014/main" id="{4E63F73F-3262-4413-B435-A027FAE35D7C}"/>
            </a:ext>
          </a:extLst>
        </xdr:cNvPr>
        <xdr:cNvPicPr>
          <a:picLocks/>
        </xdr:cNvPicPr>
      </xdr:nvPicPr>
      <xdr:blipFill>
        <a:blip xmlns:r="http://schemas.openxmlformats.org/officeDocument/2006/relationships" r:embed="rId1" cstate="print"/>
        <a:stretch>
          <a:fillRect/>
        </a:stretch>
      </xdr:blipFill>
      <xdr:spPr>
        <a:xfrm>
          <a:off x="6143148" y="8724424"/>
          <a:ext cx="0" cy="294543"/>
        </a:xfrm>
        <a:prstGeom prst="rect">
          <a:avLst/>
        </a:prstGeom>
      </xdr:spPr>
    </xdr:pic>
    <xdr:clientData/>
  </xdr:oneCellAnchor>
  <xdr:oneCellAnchor>
    <xdr:from>
      <xdr:col>8</xdr:col>
      <xdr:colOff>140083</xdr:colOff>
      <xdr:row>47</xdr:row>
      <xdr:rowOff>35278</xdr:rowOff>
    </xdr:from>
    <xdr:ext cx="0" cy="294543"/>
    <xdr:pic>
      <xdr:nvPicPr>
        <xdr:cNvPr id="389" name="Picture 388" descr="NewStar.png">
          <a:extLst>
            <a:ext uri="{FF2B5EF4-FFF2-40B4-BE49-F238E27FC236}">
              <a16:creationId xmlns:a16="http://schemas.microsoft.com/office/drawing/2014/main" id="{65AD5584-B685-4D5F-985C-87FBD53219AD}"/>
            </a:ext>
          </a:extLst>
        </xdr:cNvPr>
        <xdr:cNvPicPr>
          <a:picLocks/>
        </xdr:cNvPicPr>
      </xdr:nvPicPr>
      <xdr:blipFill>
        <a:blip xmlns:r="http://schemas.openxmlformats.org/officeDocument/2006/relationships" r:embed="rId1" cstate="print"/>
        <a:stretch>
          <a:fillRect/>
        </a:stretch>
      </xdr:blipFill>
      <xdr:spPr>
        <a:xfrm>
          <a:off x="7356223" y="8493478"/>
          <a:ext cx="0" cy="294543"/>
        </a:xfrm>
        <a:prstGeom prst="rect">
          <a:avLst/>
        </a:prstGeom>
      </xdr:spPr>
    </xdr:pic>
    <xdr:clientData/>
  </xdr:oneCellAnchor>
  <xdr:oneCellAnchor>
    <xdr:from>
      <xdr:col>6</xdr:col>
      <xdr:colOff>350043</xdr:colOff>
      <xdr:row>48</xdr:row>
      <xdr:rowOff>83344</xdr:rowOff>
    </xdr:from>
    <xdr:ext cx="0" cy="294543"/>
    <xdr:pic>
      <xdr:nvPicPr>
        <xdr:cNvPr id="390" name="Picture 389" descr="NewStar.png">
          <a:extLst>
            <a:ext uri="{FF2B5EF4-FFF2-40B4-BE49-F238E27FC236}">
              <a16:creationId xmlns:a16="http://schemas.microsoft.com/office/drawing/2014/main" id="{96599068-A08F-4CAA-A590-9352A94A6275}"/>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91" name="Picture 390" descr="NewStar.png">
          <a:extLst>
            <a:ext uri="{FF2B5EF4-FFF2-40B4-BE49-F238E27FC236}">
              <a16:creationId xmlns:a16="http://schemas.microsoft.com/office/drawing/2014/main" id="{CE1FEF8B-48A5-49F7-951E-35DCE5E37EB3}"/>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92" name="Picture 391" descr="NewStar.png">
          <a:extLst>
            <a:ext uri="{FF2B5EF4-FFF2-40B4-BE49-F238E27FC236}">
              <a16:creationId xmlns:a16="http://schemas.microsoft.com/office/drawing/2014/main" id="{42FB8915-5276-4524-9801-A18394708540}"/>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93" name="Picture 392" descr="NewStar.png">
          <a:extLst>
            <a:ext uri="{FF2B5EF4-FFF2-40B4-BE49-F238E27FC236}">
              <a16:creationId xmlns:a16="http://schemas.microsoft.com/office/drawing/2014/main" id="{0C6351B1-05CE-4177-894F-BA235400A8D3}"/>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94" name="Picture 393" descr="NewStar.png">
          <a:extLst>
            <a:ext uri="{FF2B5EF4-FFF2-40B4-BE49-F238E27FC236}">
              <a16:creationId xmlns:a16="http://schemas.microsoft.com/office/drawing/2014/main" id="{181DD999-D28F-492F-B1AF-91391EB2F625}"/>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95" name="Picture 394" descr="NewStar.png">
          <a:extLst>
            <a:ext uri="{FF2B5EF4-FFF2-40B4-BE49-F238E27FC236}">
              <a16:creationId xmlns:a16="http://schemas.microsoft.com/office/drawing/2014/main" id="{17DC984B-3978-40A8-B3AC-16451990D72F}"/>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96" name="Picture 395" descr="NewStar.png">
          <a:extLst>
            <a:ext uri="{FF2B5EF4-FFF2-40B4-BE49-F238E27FC236}">
              <a16:creationId xmlns:a16="http://schemas.microsoft.com/office/drawing/2014/main" id="{12FD2CD9-02A6-45F5-A881-87F04EEC45FB}"/>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97" name="Picture 396" descr="NewStar.png">
          <a:extLst>
            <a:ext uri="{FF2B5EF4-FFF2-40B4-BE49-F238E27FC236}">
              <a16:creationId xmlns:a16="http://schemas.microsoft.com/office/drawing/2014/main" id="{46735FB6-66DD-4B18-8BC4-AF413E5CB3F1}"/>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398" name="Picture 397" descr="NewStar.png">
          <a:extLst>
            <a:ext uri="{FF2B5EF4-FFF2-40B4-BE49-F238E27FC236}">
              <a16:creationId xmlns:a16="http://schemas.microsoft.com/office/drawing/2014/main" id="{AE84A1BB-0451-409D-B1D6-2E2EF2E5199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399" name="Picture 398" descr="NewStar.png">
          <a:extLst>
            <a:ext uri="{FF2B5EF4-FFF2-40B4-BE49-F238E27FC236}">
              <a16:creationId xmlns:a16="http://schemas.microsoft.com/office/drawing/2014/main" id="{9E483B4F-44AC-4DC4-B789-90A06D2E630D}"/>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00" name="Picture 399" descr="NewStar.png">
          <a:extLst>
            <a:ext uri="{FF2B5EF4-FFF2-40B4-BE49-F238E27FC236}">
              <a16:creationId xmlns:a16="http://schemas.microsoft.com/office/drawing/2014/main" id="{10CBF7C1-7239-4260-B5D1-1F664F1075E5}"/>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01" name="Picture 400" descr="NewStar.png">
          <a:extLst>
            <a:ext uri="{FF2B5EF4-FFF2-40B4-BE49-F238E27FC236}">
              <a16:creationId xmlns:a16="http://schemas.microsoft.com/office/drawing/2014/main" id="{96D0ECD9-27B2-4FC4-A960-AA021A6CE399}"/>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02" name="Picture 401" descr="NewStar.png">
          <a:extLst>
            <a:ext uri="{FF2B5EF4-FFF2-40B4-BE49-F238E27FC236}">
              <a16:creationId xmlns:a16="http://schemas.microsoft.com/office/drawing/2014/main" id="{A7903136-216D-45BC-8A7E-9C21A952C02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03" name="Picture 402" descr="NewStar.png">
          <a:extLst>
            <a:ext uri="{FF2B5EF4-FFF2-40B4-BE49-F238E27FC236}">
              <a16:creationId xmlns:a16="http://schemas.microsoft.com/office/drawing/2014/main" id="{EEC6A104-2E05-4E86-942D-110B41F67330}"/>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04" name="Picture 403" descr="NewStar.png">
          <a:extLst>
            <a:ext uri="{FF2B5EF4-FFF2-40B4-BE49-F238E27FC236}">
              <a16:creationId xmlns:a16="http://schemas.microsoft.com/office/drawing/2014/main" id="{1F7A45C6-9DFD-4529-8DE9-4956BD4ABEAF}"/>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8</xdr:col>
      <xdr:colOff>140083</xdr:colOff>
      <xdr:row>47</xdr:row>
      <xdr:rowOff>35278</xdr:rowOff>
    </xdr:from>
    <xdr:ext cx="0" cy="294543"/>
    <xdr:pic>
      <xdr:nvPicPr>
        <xdr:cNvPr id="405" name="Picture 404" descr="NewStar.png">
          <a:extLst>
            <a:ext uri="{FF2B5EF4-FFF2-40B4-BE49-F238E27FC236}">
              <a16:creationId xmlns:a16="http://schemas.microsoft.com/office/drawing/2014/main" id="{249D1C51-4C9A-49D8-8034-A36F495A75D2}"/>
            </a:ext>
          </a:extLst>
        </xdr:cNvPr>
        <xdr:cNvPicPr>
          <a:picLocks/>
        </xdr:cNvPicPr>
      </xdr:nvPicPr>
      <xdr:blipFill>
        <a:blip xmlns:r="http://schemas.openxmlformats.org/officeDocument/2006/relationships" r:embed="rId1" cstate="print"/>
        <a:stretch>
          <a:fillRect/>
        </a:stretch>
      </xdr:blipFill>
      <xdr:spPr>
        <a:xfrm>
          <a:off x="7515608" y="8483953"/>
          <a:ext cx="0" cy="294543"/>
        </a:xfrm>
        <a:prstGeom prst="rect">
          <a:avLst/>
        </a:prstGeom>
      </xdr:spPr>
    </xdr:pic>
    <xdr:clientData/>
  </xdr:oneCellAnchor>
  <xdr:oneCellAnchor>
    <xdr:from>
      <xdr:col>6</xdr:col>
      <xdr:colOff>350043</xdr:colOff>
      <xdr:row>48</xdr:row>
      <xdr:rowOff>83344</xdr:rowOff>
    </xdr:from>
    <xdr:ext cx="0" cy="294543"/>
    <xdr:pic>
      <xdr:nvPicPr>
        <xdr:cNvPr id="406" name="Picture 405" descr="NewStar.png">
          <a:extLst>
            <a:ext uri="{FF2B5EF4-FFF2-40B4-BE49-F238E27FC236}">
              <a16:creationId xmlns:a16="http://schemas.microsoft.com/office/drawing/2014/main" id="{310B2BD4-9365-4D82-801C-40E156269561}"/>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23" name="Picture 422" descr="NewStar.png">
          <a:extLst>
            <a:ext uri="{FF2B5EF4-FFF2-40B4-BE49-F238E27FC236}">
              <a16:creationId xmlns:a16="http://schemas.microsoft.com/office/drawing/2014/main" id="{EBEAAB6B-D504-44B0-8283-E37CD3C7148F}"/>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24" name="Picture 423" descr="NewStar.png">
          <a:extLst>
            <a:ext uri="{FF2B5EF4-FFF2-40B4-BE49-F238E27FC236}">
              <a16:creationId xmlns:a16="http://schemas.microsoft.com/office/drawing/2014/main" id="{623411C0-DDAD-4E00-AD96-4C9B9AA134E0}"/>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25" name="Picture 424" descr="NewStar.png">
          <a:extLst>
            <a:ext uri="{FF2B5EF4-FFF2-40B4-BE49-F238E27FC236}">
              <a16:creationId xmlns:a16="http://schemas.microsoft.com/office/drawing/2014/main" id="{28775F0B-BCE8-44DD-AC3A-71FEC3E40BD0}"/>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26" name="Picture 425" descr="NewStar.png">
          <a:extLst>
            <a:ext uri="{FF2B5EF4-FFF2-40B4-BE49-F238E27FC236}">
              <a16:creationId xmlns:a16="http://schemas.microsoft.com/office/drawing/2014/main" id="{B52D2F89-FEF1-4B35-8C44-05A744CC8200}"/>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27" name="Picture 426" descr="NewStar.png">
          <a:extLst>
            <a:ext uri="{FF2B5EF4-FFF2-40B4-BE49-F238E27FC236}">
              <a16:creationId xmlns:a16="http://schemas.microsoft.com/office/drawing/2014/main" id="{4544BAC4-E6B6-4D7B-B68F-CFF71A85DB5A}"/>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28" name="Picture 427" descr="NewStar.png">
          <a:extLst>
            <a:ext uri="{FF2B5EF4-FFF2-40B4-BE49-F238E27FC236}">
              <a16:creationId xmlns:a16="http://schemas.microsoft.com/office/drawing/2014/main" id="{B1E138F2-5084-45CB-B2D6-4EB0DD45169A}"/>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29" name="Picture 428" descr="NewStar.png">
          <a:extLst>
            <a:ext uri="{FF2B5EF4-FFF2-40B4-BE49-F238E27FC236}">
              <a16:creationId xmlns:a16="http://schemas.microsoft.com/office/drawing/2014/main" id="{AB12971F-218B-4DAA-86BD-37D94A6C5143}"/>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30" name="Picture 429" descr="NewStar.png">
          <a:extLst>
            <a:ext uri="{FF2B5EF4-FFF2-40B4-BE49-F238E27FC236}">
              <a16:creationId xmlns:a16="http://schemas.microsoft.com/office/drawing/2014/main" id="{DD7E63D1-8D52-4392-BCD8-DF048D95C652}"/>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31" name="Picture 430" descr="NewStar.png">
          <a:extLst>
            <a:ext uri="{FF2B5EF4-FFF2-40B4-BE49-F238E27FC236}">
              <a16:creationId xmlns:a16="http://schemas.microsoft.com/office/drawing/2014/main" id="{566CE06C-E2D5-48AE-AEFA-308A68A7B291}"/>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32" name="Picture 431" descr="NewStar.png">
          <a:extLst>
            <a:ext uri="{FF2B5EF4-FFF2-40B4-BE49-F238E27FC236}">
              <a16:creationId xmlns:a16="http://schemas.microsoft.com/office/drawing/2014/main" id="{D0433741-A484-4241-BE59-522B3F9A131F}"/>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33" name="Picture 432" descr="NewStar.png">
          <a:extLst>
            <a:ext uri="{FF2B5EF4-FFF2-40B4-BE49-F238E27FC236}">
              <a16:creationId xmlns:a16="http://schemas.microsoft.com/office/drawing/2014/main" id="{11E4FB63-F75E-4E7F-BA84-867EDE46FBD6}"/>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34" name="Picture 433" descr="NewStar.png">
          <a:extLst>
            <a:ext uri="{FF2B5EF4-FFF2-40B4-BE49-F238E27FC236}">
              <a16:creationId xmlns:a16="http://schemas.microsoft.com/office/drawing/2014/main" id="{965BA20D-FD4F-4948-8A47-719A72F8E8DA}"/>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35" name="Picture 434" descr="NewStar.png">
          <a:extLst>
            <a:ext uri="{FF2B5EF4-FFF2-40B4-BE49-F238E27FC236}">
              <a16:creationId xmlns:a16="http://schemas.microsoft.com/office/drawing/2014/main" id="{3E4CB31E-D067-42C6-8329-C486FEAE6926}"/>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36" name="Picture 435" descr="NewStar.png">
          <a:extLst>
            <a:ext uri="{FF2B5EF4-FFF2-40B4-BE49-F238E27FC236}">
              <a16:creationId xmlns:a16="http://schemas.microsoft.com/office/drawing/2014/main" id="{BCDA88F5-80E9-4E80-AC46-C9081445CB99}"/>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8</xdr:col>
      <xdr:colOff>140083</xdr:colOff>
      <xdr:row>47</xdr:row>
      <xdr:rowOff>35278</xdr:rowOff>
    </xdr:from>
    <xdr:ext cx="0" cy="294543"/>
    <xdr:pic>
      <xdr:nvPicPr>
        <xdr:cNvPr id="437" name="Picture 436" descr="NewStar.png">
          <a:extLst>
            <a:ext uri="{FF2B5EF4-FFF2-40B4-BE49-F238E27FC236}">
              <a16:creationId xmlns:a16="http://schemas.microsoft.com/office/drawing/2014/main" id="{984BCAFE-F6F8-4818-BA62-F8E2472CA35E}"/>
            </a:ext>
          </a:extLst>
        </xdr:cNvPr>
        <xdr:cNvPicPr>
          <a:picLocks/>
        </xdr:cNvPicPr>
      </xdr:nvPicPr>
      <xdr:blipFill>
        <a:blip xmlns:r="http://schemas.openxmlformats.org/officeDocument/2006/relationships" r:embed="rId1" cstate="print"/>
        <a:stretch>
          <a:fillRect/>
        </a:stretch>
      </xdr:blipFill>
      <xdr:spPr>
        <a:xfrm>
          <a:off x="7515608" y="8483953"/>
          <a:ext cx="0" cy="294543"/>
        </a:xfrm>
        <a:prstGeom prst="rect">
          <a:avLst/>
        </a:prstGeom>
      </xdr:spPr>
    </xdr:pic>
    <xdr:clientData/>
  </xdr:oneCellAnchor>
  <xdr:oneCellAnchor>
    <xdr:from>
      <xdr:col>6</xdr:col>
      <xdr:colOff>350043</xdr:colOff>
      <xdr:row>48</xdr:row>
      <xdr:rowOff>83344</xdr:rowOff>
    </xdr:from>
    <xdr:ext cx="0" cy="294543"/>
    <xdr:pic>
      <xdr:nvPicPr>
        <xdr:cNvPr id="438" name="Picture 437" descr="NewStar.png">
          <a:extLst>
            <a:ext uri="{FF2B5EF4-FFF2-40B4-BE49-F238E27FC236}">
              <a16:creationId xmlns:a16="http://schemas.microsoft.com/office/drawing/2014/main" id="{04F49E05-68C2-487E-AA7F-90AFD63DB7F8}"/>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39" name="Picture 438" descr="NewStar.png">
          <a:extLst>
            <a:ext uri="{FF2B5EF4-FFF2-40B4-BE49-F238E27FC236}">
              <a16:creationId xmlns:a16="http://schemas.microsoft.com/office/drawing/2014/main" id="{7B81F9A5-04C5-487C-9B9E-794FA1A27E67}"/>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40" name="Picture 439" descr="NewStar.png">
          <a:extLst>
            <a:ext uri="{FF2B5EF4-FFF2-40B4-BE49-F238E27FC236}">
              <a16:creationId xmlns:a16="http://schemas.microsoft.com/office/drawing/2014/main" id="{1D5F3B70-5664-4C73-82AC-2EA713566BFA}"/>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41" name="Picture 440" descr="NewStar.png">
          <a:extLst>
            <a:ext uri="{FF2B5EF4-FFF2-40B4-BE49-F238E27FC236}">
              <a16:creationId xmlns:a16="http://schemas.microsoft.com/office/drawing/2014/main" id="{F1A8A27C-7C55-429A-88B7-47714E86BE7B}"/>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42" name="Picture 441" descr="NewStar.png">
          <a:extLst>
            <a:ext uri="{FF2B5EF4-FFF2-40B4-BE49-F238E27FC236}">
              <a16:creationId xmlns:a16="http://schemas.microsoft.com/office/drawing/2014/main" id="{C6CF0362-A010-49EE-B9BA-2C5097FC07F1}"/>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43" name="Picture 442" descr="NewStar.png">
          <a:extLst>
            <a:ext uri="{FF2B5EF4-FFF2-40B4-BE49-F238E27FC236}">
              <a16:creationId xmlns:a16="http://schemas.microsoft.com/office/drawing/2014/main" id="{83D0B88B-C90E-4AA6-BC6E-B3C711FF4D50}"/>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44" name="Picture 443" descr="NewStar.png">
          <a:extLst>
            <a:ext uri="{FF2B5EF4-FFF2-40B4-BE49-F238E27FC236}">
              <a16:creationId xmlns:a16="http://schemas.microsoft.com/office/drawing/2014/main" id="{B89F0BF4-52DA-44B4-B64D-94D705A59C14}"/>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45" name="Picture 444" descr="NewStar.png">
          <a:extLst>
            <a:ext uri="{FF2B5EF4-FFF2-40B4-BE49-F238E27FC236}">
              <a16:creationId xmlns:a16="http://schemas.microsoft.com/office/drawing/2014/main" id="{47E74E08-A743-4343-A666-6A47458EACB3}"/>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46" name="Picture 445" descr="NewStar.png">
          <a:extLst>
            <a:ext uri="{FF2B5EF4-FFF2-40B4-BE49-F238E27FC236}">
              <a16:creationId xmlns:a16="http://schemas.microsoft.com/office/drawing/2014/main" id="{D37E9A25-EA9D-45C8-BD2E-C5F556C0F133}"/>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47" name="Picture 446" descr="NewStar.png">
          <a:extLst>
            <a:ext uri="{FF2B5EF4-FFF2-40B4-BE49-F238E27FC236}">
              <a16:creationId xmlns:a16="http://schemas.microsoft.com/office/drawing/2014/main" id="{4BCB53AE-AB70-4473-9725-4041CD3E6C56}"/>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48" name="Picture 447" descr="NewStar.png">
          <a:extLst>
            <a:ext uri="{FF2B5EF4-FFF2-40B4-BE49-F238E27FC236}">
              <a16:creationId xmlns:a16="http://schemas.microsoft.com/office/drawing/2014/main" id="{41399279-8A88-4643-A543-AECBDA45B589}"/>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49" name="Picture 448" descr="NewStar.png">
          <a:extLst>
            <a:ext uri="{FF2B5EF4-FFF2-40B4-BE49-F238E27FC236}">
              <a16:creationId xmlns:a16="http://schemas.microsoft.com/office/drawing/2014/main" id="{A1D7BED2-9DB4-445B-A00F-896A80B0F21E}"/>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50" name="Picture 449" descr="NewStar.png">
          <a:extLst>
            <a:ext uri="{FF2B5EF4-FFF2-40B4-BE49-F238E27FC236}">
              <a16:creationId xmlns:a16="http://schemas.microsoft.com/office/drawing/2014/main" id="{18D34A5E-B7E5-4AC7-B223-4DC690D7220A}"/>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5</xdr:col>
      <xdr:colOff>350043</xdr:colOff>
      <xdr:row>48</xdr:row>
      <xdr:rowOff>83344</xdr:rowOff>
    </xdr:from>
    <xdr:ext cx="0" cy="294543"/>
    <xdr:pic>
      <xdr:nvPicPr>
        <xdr:cNvPr id="451" name="Picture 450" descr="NewStar.png">
          <a:extLst>
            <a:ext uri="{FF2B5EF4-FFF2-40B4-BE49-F238E27FC236}">
              <a16:creationId xmlns:a16="http://schemas.microsoft.com/office/drawing/2014/main" id="{18B782DA-3EF6-45FD-B87E-477164A4CC60}"/>
            </a:ext>
          </a:extLst>
        </xdr:cNvPr>
        <xdr:cNvPicPr>
          <a:picLocks/>
        </xdr:cNvPicPr>
      </xdr:nvPicPr>
      <xdr:blipFill>
        <a:blip xmlns:r="http://schemas.openxmlformats.org/officeDocument/2006/relationships" r:embed="rId1" cstate="print"/>
        <a:stretch>
          <a:fillRect/>
        </a:stretch>
      </xdr:blipFill>
      <xdr:spPr>
        <a:xfrm>
          <a:off x="5283993" y="9093994"/>
          <a:ext cx="0" cy="294543"/>
        </a:xfrm>
        <a:prstGeom prst="rect">
          <a:avLst/>
        </a:prstGeom>
      </xdr:spPr>
    </xdr:pic>
    <xdr:clientData/>
  </xdr:oneCellAnchor>
  <xdr:oneCellAnchor>
    <xdr:from>
      <xdr:col>6</xdr:col>
      <xdr:colOff>350043</xdr:colOff>
      <xdr:row>48</xdr:row>
      <xdr:rowOff>83344</xdr:rowOff>
    </xdr:from>
    <xdr:ext cx="0" cy="294543"/>
    <xdr:pic>
      <xdr:nvPicPr>
        <xdr:cNvPr id="452" name="Picture 451" descr="NewStar.png">
          <a:extLst>
            <a:ext uri="{FF2B5EF4-FFF2-40B4-BE49-F238E27FC236}">
              <a16:creationId xmlns:a16="http://schemas.microsoft.com/office/drawing/2014/main" id="{E04A9D07-0A64-407B-9A49-A76E69606DCC}"/>
            </a:ext>
          </a:extLst>
        </xdr:cNvPr>
        <xdr:cNvPicPr>
          <a:picLocks/>
        </xdr:cNvPicPr>
      </xdr:nvPicPr>
      <xdr:blipFill>
        <a:blip xmlns:r="http://schemas.openxmlformats.org/officeDocument/2006/relationships" r:embed="rId1" cstate="print"/>
        <a:stretch>
          <a:fillRect/>
        </a:stretch>
      </xdr:blipFill>
      <xdr:spPr>
        <a:xfrm>
          <a:off x="5979318" y="9093994"/>
          <a:ext cx="0" cy="294543"/>
        </a:xfrm>
        <a:prstGeom prst="rect">
          <a:avLst/>
        </a:prstGeom>
      </xdr:spPr>
    </xdr:pic>
    <xdr:clientData/>
  </xdr:oneCellAnchor>
  <xdr:oneCellAnchor>
    <xdr:from>
      <xdr:col>8</xdr:col>
      <xdr:colOff>140083</xdr:colOff>
      <xdr:row>47</xdr:row>
      <xdr:rowOff>35278</xdr:rowOff>
    </xdr:from>
    <xdr:ext cx="0" cy="294543"/>
    <xdr:pic>
      <xdr:nvPicPr>
        <xdr:cNvPr id="453" name="Picture 452" descr="NewStar.png">
          <a:extLst>
            <a:ext uri="{FF2B5EF4-FFF2-40B4-BE49-F238E27FC236}">
              <a16:creationId xmlns:a16="http://schemas.microsoft.com/office/drawing/2014/main" id="{C325E2C3-2813-4EAA-88AB-B3BFBA1F5F0D}"/>
            </a:ext>
          </a:extLst>
        </xdr:cNvPr>
        <xdr:cNvPicPr>
          <a:picLocks/>
        </xdr:cNvPicPr>
      </xdr:nvPicPr>
      <xdr:blipFill>
        <a:blip xmlns:r="http://schemas.openxmlformats.org/officeDocument/2006/relationships" r:embed="rId1" cstate="print"/>
        <a:stretch>
          <a:fillRect/>
        </a:stretch>
      </xdr:blipFill>
      <xdr:spPr>
        <a:xfrm>
          <a:off x="7160008" y="8855428"/>
          <a:ext cx="0" cy="294543"/>
        </a:xfrm>
        <a:prstGeom prst="rect">
          <a:avLst/>
        </a:prstGeom>
      </xdr:spPr>
    </xdr:pic>
    <xdr:clientData/>
  </xdr:oneCellAnchor>
  <xdr:oneCellAnchor>
    <xdr:from>
      <xdr:col>6</xdr:col>
      <xdr:colOff>350043</xdr:colOff>
      <xdr:row>48</xdr:row>
      <xdr:rowOff>83344</xdr:rowOff>
    </xdr:from>
    <xdr:ext cx="0" cy="294543"/>
    <xdr:pic>
      <xdr:nvPicPr>
        <xdr:cNvPr id="454" name="Picture 453" descr="NewStar.png">
          <a:extLst>
            <a:ext uri="{FF2B5EF4-FFF2-40B4-BE49-F238E27FC236}">
              <a16:creationId xmlns:a16="http://schemas.microsoft.com/office/drawing/2014/main" id="{ECE2BE9A-DFBC-417C-BB5D-7F13DEC63B13}"/>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55" name="Picture 454" descr="NewStar.png">
          <a:extLst>
            <a:ext uri="{FF2B5EF4-FFF2-40B4-BE49-F238E27FC236}">
              <a16:creationId xmlns:a16="http://schemas.microsoft.com/office/drawing/2014/main" id="{8B6A3F6C-0BAD-4001-BC4B-2DF7F8CB2367}"/>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56" name="Picture 455" descr="NewStar.png">
          <a:extLst>
            <a:ext uri="{FF2B5EF4-FFF2-40B4-BE49-F238E27FC236}">
              <a16:creationId xmlns:a16="http://schemas.microsoft.com/office/drawing/2014/main" id="{3D46ECE5-AC5A-416A-A9E8-EC5D5D22B78E}"/>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57" name="Picture 456" descr="NewStar.png">
          <a:extLst>
            <a:ext uri="{FF2B5EF4-FFF2-40B4-BE49-F238E27FC236}">
              <a16:creationId xmlns:a16="http://schemas.microsoft.com/office/drawing/2014/main" id="{B4BA8259-F25C-48E2-8E50-4AE045A02E55}"/>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58" name="Picture 457" descr="NewStar.png">
          <a:extLst>
            <a:ext uri="{FF2B5EF4-FFF2-40B4-BE49-F238E27FC236}">
              <a16:creationId xmlns:a16="http://schemas.microsoft.com/office/drawing/2014/main" id="{39095775-8E64-4195-92B9-0C38B7812485}"/>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59" name="Picture 458" descr="NewStar.png">
          <a:extLst>
            <a:ext uri="{FF2B5EF4-FFF2-40B4-BE49-F238E27FC236}">
              <a16:creationId xmlns:a16="http://schemas.microsoft.com/office/drawing/2014/main" id="{341CD354-C738-4E25-86EB-FE35B6CDD18C}"/>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60" name="Picture 459" descr="NewStar.png">
          <a:extLst>
            <a:ext uri="{FF2B5EF4-FFF2-40B4-BE49-F238E27FC236}">
              <a16:creationId xmlns:a16="http://schemas.microsoft.com/office/drawing/2014/main" id="{DC7CA32C-4B40-4CA4-AAEF-47F32639DA0B}"/>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61" name="Picture 460" descr="NewStar.png">
          <a:extLst>
            <a:ext uri="{FF2B5EF4-FFF2-40B4-BE49-F238E27FC236}">
              <a16:creationId xmlns:a16="http://schemas.microsoft.com/office/drawing/2014/main" id="{21EF21F3-3DA6-4354-A63D-0660D3D820F3}"/>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62" name="Picture 461" descr="NewStar.png">
          <a:extLst>
            <a:ext uri="{FF2B5EF4-FFF2-40B4-BE49-F238E27FC236}">
              <a16:creationId xmlns:a16="http://schemas.microsoft.com/office/drawing/2014/main" id="{7B4CCB33-6439-47CB-B853-DE50A00C21C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63" name="Picture 462" descr="NewStar.png">
          <a:extLst>
            <a:ext uri="{FF2B5EF4-FFF2-40B4-BE49-F238E27FC236}">
              <a16:creationId xmlns:a16="http://schemas.microsoft.com/office/drawing/2014/main" id="{C1F4422E-C287-4B6B-8642-4A588D6FE77C}"/>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64" name="Picture 463" descr="NewStar.png">
          <a:extLst>
            <a:ext uri="{FF2B5EF4-FFF2-40B4-BE49-F238E27FC236}">
              <a16:creationId xmlns:a16="http://schemas.microsoft.com/office/drawing/2014/main" id="{4567855D-628E-416A-928E-049E9A280826}"/>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65" name="Picture 464" descr="NewStar.png">
          <a:extLst>
            <a:ext uri="{FF2B5EF4-FFF2-40B4-BE49-F238E27FC236}">
              <a16:creationId xmlns:a16="http://schemas.microsoft.com/office/drawing/2014/main" id="{13684066-3AE4-4082-A4ED-6145E3673EC8}"/>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66" name="Picture 465" descr="NewStar.png">
          <a:extLst>
            <a:ext uri="{FF2B5EF4-FFF2-40B4-BE49-F238E27FC236}">
              <a16:creationId xmlns:a16="http://schemas.microsoft.com/office/drawing/2014/main" id="{ED41B79C-1AEA-4FDE-A6DA-EF69AA059DC8}"/>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5</xdr:col>
      <xdr:colOff>350043</xdr:colOff>
      <xdr:row>48</xdr:row>
      <xdr:rowOff>83344</xdr:rowOff>
    </xdr:from>
    <xdr:ext cx="0" cy="294543"/>
    <xdr:pic>
      <xdr:nvPicPr>
        <xdr:cNvPr id="467" name="Picture 466" descr="NewStar.png">
          <a:extLst>
            <a:ext uri="{FF2B5EF4-FFF2-40B4-BE49-F238E27FC236}">
              <a16:creationId xmlns:a16="http://schemas.microsoft.com/office/drawing/2014/main" id="{4F510BE6-013A-4127-888B-819638EEF4EC}"/>
            </a:ext>
          </a:extLst>
        </xdr:cNvPr>
        <xdr:cNvPicPr>
          <a:picLocks/>
        </xdr:cNvPicPr>
      </xdr:nvPicPr>
      <xdr:blipFill>
        <a:blip xmlns:r="http://schemas.openxmlformats.org/officeDocument/2006/relationships" r:embed="rId1" cstate="print"/>
        <a:stretch>
          <a:fillRect/>
        </a:stretch>
      </xdr:blipFill>
      <xdr:spPr>
        <a:xfrm>
          <a:off x="5525293" y="8716169"/>
          <a:ext cx="0" cy="294543"/>
        </a:xfrm>
        <a:prstGeom prst="rect">
          <a:avLst/>
        </a:prstGeom>
      </xdr:spPr>
    </xdr:pic>
    <xdr:clientData/>
  </xdr:oneCellAnchor>
  <xdr:oneCellAnchor>
    <xdr:from>
      <xdr:col>6</xdr:col>
      <xdr:colOff>350043</xdr:colOff>
      <xdr:row>48</xdr:row>
      <xdr:rowOff>83344</xdr:rowOff>
    </xdr:from>
    <xdr:ext cx="0" cy="294543"/>
    <xdr:pic>
      <xdr:nvPicPr>
        <xdr:cNvPr id="468" name="Picture 467" descr="NewStar.png">
          <a:extLst>
            <a:ext uri="{FF2B5EF4-FFF2-40B4-BE49-F238E27FC236}">
              <a16:creationId xmlns:a16="http://schemas.microsoft.com/office/drawing/2014/main" id="{9EB79642-4CD0-46AF-82D1-332B1E6981C2}"/>
            </a:ext>
          </a:extLst>
        </xdr:cNvPr>
        <xdr:cNvPicPr>
          <a:picLocks/>
        </xdr:cNvPicPr>
      </xdr:nvPicPr>
      <xdr:blipFill>
        <a:blip xmlns:r="http://schemas.openxmlformats.org/officeDocument/2006/relationships" r:embed="rId1" cstate="print"/>
        <a:stretch>
          <a:fillRect/>
        </a:stretch>
      </xdr:blipFill>
      <xdr:spPr>
        <a:xfrm>
          <a:off x="6258718" y="8716169"/>
          <a:ext cx="0" cy="294543"/>
        </a:xfrm>
        <a:prstGeom prst="rect">
          <a:avLst/>
        </a:prstGeom>
      </xdr:spPr>
    </xdr:pic>
    <xdr:clientData/>
  </xdr:oneCellAnchor>
  <xdr:oneCellAnchor>
    <xdr:from>
      <xdr:col>8</xdr:col>
      <xdr:colOff>140083</xdr:colOff>
      <xdr:row>47</xdr:row>
      <xdr:rowOff>35278</xdr:rowOff>
    </xdr:from>
    <xdr:ext cx="0" cy="294543"/>
    <xdr:pic>
      <xdr:nvPicPr>
        <xdr:cNvPr id="469" name="Picture 468" descr="NewStar.png">
          <a:extLst>
            <a:ext uri="{FF2B5EF4-FFF2-40B4-BE49-F238E27FC236}">
              <a16:creationId xmlns:a16="http://schemas.microsoft.com/office/drawing/2014/main" id="{D1E3C3B6-3D60-4A03-8A7E-F51D196CC768}"/>
            </a:ext>
          </a:extLst>
        </xdr:cNvPr>
        <xdr:cNvPicPr>
          <a:picLocks/>
        </xdr:cNvPicPr>
      </xdr:nvPicPr>
      <xdr:blipFill>
        <a:blip xmlns:r="http://schemas.openxmlformats.org/officeDocument/2006/relationships" r:embed="rId1" cstate="print"/>
        <a:stretch>
          <a:fillRect/>
        </a:stretch>
      </xdr:blipFill>
      <xdr:spPr>
        <a:xfrm>
          <a:off x="7515608" y="8483953"/>
          <a:ext cx="0" cy="29454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r-fin-fs-01\Publications\_Economics_publications\Alberta%20Indicators%20at%20a%20Glance\Source%20documents\2019-06-21_N_AlbertaIndicatorsCharts_WebVers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Oil Prices"/>
      <sheetName val="2) Business Output"/>
      <sheetName val="3) Labour 1"/>
      <sheetName val="4) Labour 2 "/>
      <sheetName val="5) Rigs"/>
      <sheetName val="6) Inflation &amp;Avg Wkly Earn"/>
      <sheetName val="7) Housing"/>
      <sheetName val="8) Economic Activity"/>
      <sheetName val="9) Real GDP"/>
      <sheetName val="10) CPI "/>
      <sheetName val="11) UnemploymentRate"/>
      <sheetName val="12) Employment"/>
      <sheetName val="13) AWE  "/>
      <sheetName val="14) HS"/>
      <sheetName val="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005072"/>
  </sheetPr>
  <dimension ref="A1:A28"/>
  <sheetViews>
    <sheetView zoomScaleNormal="100" workbookViewId="0">
      <selection activeCell="O23" sqref="O23"/>
    </sheetView>
  </sheetViews>
  <sheetFormatPr defaultRowHeight="12.75" x14ac:dyDescent="0.2"/>
  <cols>
    <col min="1" max="1" width="57.5703125" customWidth="1"/>
  </cols>
  <sheetData>
    <row r="1" spans="1:1" ht="55.5" customHeight="1" x14ac:dyDescent="0.2">
      <c r="A1" s="13" t="s">
        <v>36</v>
      </c>
    </row>
    <row r="2" spans="1:1" x14ac:dyDescent="0.2">
      <c r="A2" s="12"/>
    </row>
    <row r="3" spans="1:1" x14ac:dyDescent="0.2">
      <c r="A3" s="15"/>
    </row>
    <row r="4" spans="1:1" x14ac:dyDescent="0.2">
      <c r="A4" s="16" t="s">
        <v>54</v>
      </c>
    </row>
    <row r="5" spans="1:1" x14ac:dyDescent="0.2">
      <c r="A5" s="16" t="s">
        <v>55</v>
      </c>
    </row>
    <row r="6" spans="1:1" x14ac:dyDescent="0.2">
      <c r="A6" s="16" t="s">
        <v>56</v>
      </c>
    </row>
    <row r="7" spans="1:1" x14ac:dyDescent="0.2">
      <c r="A7" s="16" t="s">
        <v>57</v>
      </c>
    </row>
    <row r="8" spans="1:1" x14ac:dyDescent="0.2">
      <c r="A8" s="16" t="s">
        <v>58</v>
      </c>
    </row>
    <row r="9" spans="1:1" x14ac:dyDescent="0.2">
      <c r="A9" s="16" t="s">
        <v>59</v>
      </c>
    </row>
    <row r="10" spans="1:1" x14ac:dyDescent="0.2">
      <c r="A10" s="16" t="s">
        <v>60</v>
      </c>
    </row>
    <row r="11" spans="1:1" x14ac:dyDescent="0.2">
      <c r="A11" s="16" t="s">
        <v>61</v>
      </c>
    </row>
    <row r="12" spans="1:1" x14ac:dyDescent="0.2">
      <c r="A12" s="15"/>
    </row>
    <row r="13" spans="1:1" x14ac:dyDescent="0.2">
      <c r="A13" s="15"/>
    </row>
    <row r="14" spans="1:1" x14ac:dyDescent="0.2">
      <c r="A14" s="12"/>
    </row>
    <row r="18" spans="1:1" ht="27.75" x14ac:dyDescent="0.2">
      <c r="A18" s="13" t="s">
        <v>35</v>
      </c>
    </row>
    <row r="19" spans="1:1" x14ac:dyDescent="0.2">
      <c r="A19" s="14"/>
    </row>
    <row r="20" spans="1:1" x14ac:dyDescent="0.2">
      <c r="A20" s="15"/>
    </row>
    <row r="21" spans="1:1" x14ac:dyDescent="0.2">
      <c r="A21" s="16" t="s">
        <v>48</v>
      </c>
    </row>
    <row r="22" spans="1:1" x14ac:dyDescent="0.2">
      <c r="A22" s="16" t="s">
        <v>49</v>
      </c>
    </row>
    <row r="23" spans="1:1" x14ac:dyDescent="0.2">
      <c r="A23" s="16" t="s">
        <v>50</v>
      </c>
    </row>
    <row r="24" spans="1:1" x14ac:dyDescent="0.2">
      <c r="A24" s="16" t="s">
        <v>51</v>
      </c>
    </row>
    <row r="25" spans="1:1" x14ac:dyDescent="0.2">
      <c r="A25" s="16" t="s">
        <v>52</v>
      </c>
    </row>
    <row r="26" spans="1:1" x14ac:dyDescent="0.2">
      <c r="A26" s="16" t="s">
        <v>53</v>
      </c>
    </row>
    <row r="27" spans="1:1" x14ac:dyDescent="0.2">
      <c r="A27" s="15"/>
    </row>
    <row r="28" spans="1:1" x14ac:dyDescent="0.2">
      <c r="A28" s="14"/>
    </row>
  </sheetData>
  <hyperlinks>
    <hyperlink ref="A4" location="'1) Oil Prices'!A1" display="1) Oil Prices" xr:uid="{00000000-0004-0000-0100-000000000000}"/>
    <hyperlink ref="A5" location="'2) Business Output'!A1" display="2) Business Output" xr:uid="{00000000-0004-0000-0100-000001000000}"/>
    <hyperlink ref="A6" location="'3) Labour 1'!A1" display="3) Labour Market 1" xr:uid="{00000000-0004-0000-0100-000002000000}"/>
    <hyperlink ref="A7" location="'4) Labour 2 '!A1" display="4) Labour Market 2" xr:uid="{00000000-0004-0000-0100-000003000000}"/>
    <hyperlink ref="A8" location="'5) Rigs'!A1" display="5) Rigs" xr:uid="{00000000-0004-0000-0100-000004000000}"/>
    <hyperlink ref="A9" location="'6) Inflation, AWE, Retail'!A1" display="6) Inflation, AWE, Retail" xr:uid="{00000000-0004-0000-0100-000005000000}"/>
    <hyperlink ref="A10" location="'7) Housing'!A1" display="7) Housing Market" xr:uid="{00000000-0004-0000-0100-000006000000}"/>
    <hyperlink ref="A11" location="'8) Economic Activity'!A1" display="7) Economic Activity" xr:uid="{00000000-0004-0000-0100-000007000000}"/>
    <hyperlink ref="A21" location="'9) Real GDP'!A1" display="9) Real GDP" xr:uid="{00000000-0004-0000-0100-000008000000}"/>
    <hyperlink ref="A22" location="'10) CPI'!A1" display="10) CPI" xr:uid="{00000000-0004-0000-0100-000009000000}"/>
    <hyperlink ref="A23" location="'11) Unemployment'!A1" display="11) Unemployment" xr:uid="{00000000-0004-0000-0100-00000A000000}"/>
    <hyperlink ref="A25" location="'13) Avg Weekly Earnings'!A1" display="13) Average Weekly Earnings" xr:uid="{00000000-0004-0000-0100-00000B000000}"/>
    <hyperlink ref="A26" location="'14) Housing'!A1" display="14) Housing" xr:uid="{00000000-0004-0000-0100-00000C000000}"/>
    <hyperlink ref="A24" location="'12) Employment'!A1" display="12) Employment" xr:uid="{00000000-0004-0000-0100-00000D000000}"/>
  </hyperlinks>
  <pageMargins left="0.7" right="0.7" top="0.75" bottom="0.75" header="0.3" footer="0.3"/>
  <pageSetup orientation="portrait" r:id="rId1"/>
  <headerFooter>
    <oddFooter>&amp;L&amp;1#&amp;"Calibri"&amp;11&amp;K000000Classification: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tabColor rgb="FF005072"/>
    <pageSetUpPr fitToPage="1"/>
  </sheetPr>
  <dimension ref="A1:R94"/>
  <sheetViews>
    <sheetView showGridLines="0" topLeftCell="A17" zoomScale="85" zoomScaleNormal="85" workbookViewId="0">
      <selection activeCell="Q44" sqref="Q44"/>
    </sheetView>
  </sheetViews>
  <sheetFormatPr defaultColWidth="9.42578125" defaultRowHeight="12.75" x14ac:dyDescent="0.2"/>
  <cols>
    <col min="1" max="1" width="42.5703125" style="3" customWidth="1"/>
    <col min="2" max="4" width="11.42578125" style="3" bestFit="1" customWidth="1"/>
    <col min="5" max="7" width="10.5703125" style="3" bestFit="1" customWidth="1"/>
    <col min="8" max="8" width="9.42578125" style="3"/>
    <col min="9" max="9" width="10.28515625" style="3" bestFit="1" customWidth="1"/>
    <col min="10" max="16384" width="9.42578125" style="3"/>
  </cols>
  <sheetData>
    <row r="1" spans="1:10" x14ac:dyDescent="0.2">
      <c r="A1" s="160" t="str">
        <f ca="1">"Alberta Economic Indicators - "&amp;TEXT(A92, "MMMM D, YYYY")</f>
        <v>Alberta Economic Indicators - October 2, 2026</v>
      </c>
      <c r="B1" s="160"/>
      <c r="C1" s="160"/>
      <c r="D1" s="160"/>
      <c r="E1" s="160"/>
      <c r="F1" s="160"/>
      <c r="G1" s="160"/>
      <c r="H1" s="160"/>
      <c r="I1" s="160"/>
      <c r="J1" s="160"/>
    </row>
    <row r="3" spans="1:10" ht="15.75" x14ac:dyDescent="0.2">
      <c r="A3" s="10"/>
      <c r="B3" s="38">
        <v>2024</v>
      </c>
      <c r="C3" s="38">
        <v>2025</v>
      </c>
      <c r="D3" s="38" t="s">
        <v>253</v>
      </c>
      <c r="E3" s="39">
        <v>46082</v>
      </c>
      <c r="F3" s="39">
        <v>46113</v>
      </c>
      <c r="G3" s="39">
        <v>46143</v>
      </c>
      <c r="H3" s="39">
        <v>46174</v>
      </c>
      <c r="I3" s="39">
        <v>46204</v>
      </c>
      <c r="J3" s="39">
        <v>46235</v>
      </c>
    </row>
    <row r="4" spans="1:10" ht="15.6" customHeight="1" x14ac:dyDescent="0.2">
      <c r="A4" s="46" t="s">
        <v>40</v>
      </c>
      <c r="B4" s="119">
        <v>2.3124796576969642</v>
      </c>
      <c r="C4" s="119">
        <v>2.5292331638183896</v>
      </c>
      <c r="D4" s="119">
        <v>2.4983351614714877</v>
      </c>
      <c r="E4" s="119">
        <v>1.5834991680894195</v>
      </c>
      <c r="F4" s="119">
        <v>1.7362048623133841</v>
      </c>
      <c r="G4" s="119">
        <v>4.6212980251278735</v>
      </c>
      <c r="H4" s="119">
        <v>4.8773191721645182</v>
      </c>
      <c r="I4" s="119" t="s">
        <v>202</v>
      </c>
      <c r="J4" s="119"/>
    </row>
    <row r="5" spans="1:10" ht="15.75" x14ac:dyDescent="0.2">
      <c r="A5" s="11" t="s">
        <v>194</v>
      </c>
      <c r="B5" s="120"/>
      <c r="C5" s="120"/>
      <c r="D5" s="120"/>
      <c r="E5" s="135"/>
      <c r="F5" s="136"/>
      <c r="G5" s="136"/>
      <c r="H5" s="136"/>
      <c r="I5" s="136"/>
      <c r="J5" s="136"/>
    </row>
    <row r="6" spans="1:10" x14ac:dyDescent="0.2">
      <c r="A6" s="18" t="s">
        <v>20</v>
      </c>
      <c r="B6" s="121">
        <v>4901.7950000000001</v>
      </c>
      <c r="C6" s="121">
        <v>5024.6310000000003</v>
      </c>
      <c r="D6" s="121">
        <v>5101.05</v>
      </c>
      <c r="E6" s="121" t="s">
        <v>202</v>
      </c>
      <c r="F6" s="121">
        <v>5079.1760000000004</v>
      </c>
      <c r="G6" s="121" t="s">
        <v>202</v>
      </c>
      <c r="H6" s="121" t="s">
        <v>202</v>
      </c>
      <c r="I6" s="121">
        <v>5101.05</v>
      </c>
      <c r="J6" s="121" t="s">
        <v>202</v>
      </c>
    </row>
    <row r="7" spans="1:10" x14ac:dyDescent="0.2">
      <c r="A7" s="19" t="s">
        <v>15</v>
      </c>
      <c r="B7" s="123">
        <v>4.559759830990906</v>
      </c>
      <c r="C7" s="123">
        <v>2.5059391508620799</v>
      </c>
      <c r="D7" s="124">
        <v>1.520887802507298</v>
      </c>
      <c r="E7" s="122" t="s">
        <v>202</v>
      </c>
      <c r="F7" s="122">
        <v>1.6555531249443423</v>
      </c>
      <c r="G7" s="122" t="s">
        <v>202</v>
      </c>
      <c r="H7" s="122" t="s">
        <v>202</v>
      </c>
      <c r="I7" s="122">
        <v>1.520887802507298</v>
      </c>
      <c r="J7" s="122" t="s">
        <v>202</v>
      </c>
    </row>
    <row r="8" spans="1:10" x14ac:dyDescent="0.2">
      <c r="A8" s="18" t="s">
        <v>31</v>
      </c>
      <c r="B8" s="125">
        <v>48394</v>
      </c>
      <c r="C8" s="125">
        <v>26376</v>
      </c>
      <c r="D8" s="125">
        <v>21662</v>
      </c>
      <c r="E8" s="125" t="s">
        <v>202</v>
      </c>
      <c r="F8" s="125">
        <v>6219</v>
      </c>
      <c r="G8" s="125" t="s">
        <v>202</v>
      </c>
      <c r="H8" s="125" t="s">
        <v>202</v>
      </c>
      <c r="I8" s="125">
        <v>5893</v>
      </c>
      <c r="J8" s="125" t="s">
        <v>202</v>
      </c>
    </row>
    <row r="9" spans="1:10" x14ac:dyDescent="0.2">
      <c r="A9" s="18" t="s">
        <v>32</v>
      </c>
      <c r="B9" s="125">
        <v>147593</v>
      </c>
      <c r="C9" s="125">
        <v>77005</v>
      </c>
      <c r="D9" s="125">
        <v>35457</v>
      </c>
      <c r="E9" s="125" t="s">
        <v>202</v>
      </c>
      <c r="F9" s="125">
        <v>1563</v>
      </c>
      <c r="G9" s="125" t="s">
        <v>202</v>
      </c>
      <c r="H9" s="125" t="s">
        <v>202</v>
      </c>
      <c r="I9" s="125">
        <v>10770</v>
      </c>
      <c r="J9" s="125" t="s">
        <v>202</v>
      </c>
    </row>
    <row r="10" spans="1:10" ht="15.75" x14ac:dyDescent="0.2">
      <c r="A10" s="11" t="s">
        <v>16</v>
      </c>
      <c r="B10" s="126"/>
      <c r="C10" s="126"/>
      <c r="D10" s="126"/>
      <c r="E10" s="137"/>
      <c r="F10" s="138"/>
      <c r="G10" s="138"/>
      <c r="H10" s="138"/>
      <c r="I10" s="138"/>
      <c r="J10" s="138"/>
    </row>
    <row r="11" spans="1:10" x14ac:dyDescent="0.2">
      <c r="A11" s="21" t="s">
        <v>21</v>
      </c>
      <c r="B11" s="127">
        <v>2518.9333333333329</v>
      </c>
      <c r="C11" s="127">
        <v>2590.1083333333336</v>
      </c>
      <c r="D11" s="127">
        <v>2661.4124999999999</v>
      </c>
      <c r="E11" s="139">
        <v>2655.6</v>
      </c>
      <c r="F11" s="139">
        <v>2656.6</v>
      </c>
      <c r="G11" s="139">
        <v>2670.5</v>
      </c>
      <c r="H11" s="140">
        <v>2677.3</v>
      </c>
      <c r="I11" s="139">
        <v>2670</v>
      </c>
      <c r="J11" s="139">
        <v>2661.1</v>
      </c>
    </row>
    <row r="12" spans="1:10" x14ac:dyDescent="0.2">
      <c r="A12" s="19" t="s">
        <v>22</v>
      </c>
      <c r="B12" s="129"/>
      <c r="C12" s="129"/>
      <c r="D12" s="129"/>
      <c r="E12" s="130">
        <v>6.4000000000000909</v>
      </c>
      <c r="F12" s="119">
        <v>1</v>
      </c>
      <c r="G12" s="119">
        <v>13.900000000000091</v>
      </c>
      <c r="H12" s="140">
        <v>6.8000000000001819</v>
      </c>
      <c r="I12" s="119">
        <v>-7.3000000000001819</v>
      </c>
      <c r="J12" s="119">
        <v>-8.9000000000000909</v>
      </c>
    </row>
    <row r="13" spans="1:10" x14ac:dyDescent="0.2">
      <c r="A13" s="19" t="s">
        <v>33</v>
      </c>
      <c r="B13" s="119">
        <v>3.12332618033071</v>
      </c>
      <c r="C13" s="119">
        <v>2.8256007834004171</v>
      </c>
      <c r="D13" s="119">
        <v>3.5392807644613056</v>
      </c>
      <c r="E13" s="119">
        <v>3.9536522351835801</v>
      </c>
      <c r="F13" s="119">
        <v>3.4703018500486849</v>
      </c>
      <c r="G13" s="119">
        <v>4.0684306924905433</v>
      </c>
      <c r="H13" s="140">
        <v>3.0206249038017496</v>
      </c>
      <c r="I13" s="119">
        <v>3.5284994183792273</v>
      </c>
      <c r="J13" s="119">
        <v>3.5971503094950785</v>
      </c>
    </row>
    <row r="14" spans="1:10" x14ac:dyDescent="0.2">
      <c r="A14" s="18" t="s">
        <v>23</v>
      </c>
      <c r="B14" s="119">
        <v>7</v>
      </c>
      <c r="C14" s="119">
        <v>7.2333333333333334</v>
      </c>
      <c r="D14" s="119">
        <v>6.6999999999999993</v>
      </c>
      <c r="E14" s="119">
        <v>6.5</v>
      </c>
      <c r="F14" s="119">
        <v>7</v>
      </c>
      <c r="G14" s="119">
        <v>6.6</v>
      </c>
      <c r="H14" s="141">
        <v>7</v>
      </c>
      <c r="I14" s="119">
        <v>7</v>
      </c>
      <c r="J14" s="119">
        <v>6.8</v>
      </c>
    </row>
    <row r="15" spans="1:10" x14ac:dyDescent="0.2">
      <c r="A15" s="21" t="s">
        <v>24</v>
      </c>
      <c r="B15" s="119">
        <v>69.400000000000006</v>
      </c>
      <c r="C15" s="119">
        <v>68.849999999999994</v>
      </c>
      <c r="D15" s="119">
        <v>69.037499999999994</v>
      </c>
      <c r="E15" s="119">
        <v>68.900000000000006</v>
      </c>
      <c r="F15" s="119">
        <v>69.2</v>
      </c>
      <c r="G15" s="119">
        <v>69.099999999999994</v>
      </c>
      <c r="H15" s="140">
        <v>69.5</v>
      </c>
      <c r="I15" s="119">
        <v>69.2</v>
      </c>
      <c r="J15" s="119">
        <v>68.7</v>
      </c>
    </row>
    <row r="16" spans="1:10" x14ac:dyDescent="0.2">
      <c r="A16" s="18" t="s">
        <v>25</v>
      </c>
      <c r="B16" s="127">
        <v>1327.96</v>
      </c>
      <c r="C16" s="127">
        <v>1357.7</v>
      </c>
      <c r="D16" s="127">
        <v>1381.98</v>
      </c>
      <c r="E16" s="140">
        <v>1370.21</v>
      </c>
      <c r="F16" s="140">
        <v>1393.07</v>
      </c>
      <c r="G16" s="140">
        <v>1381.34</v>
      </c>
      <c r="H16" s="140">
        <v>1387.88</v>
      </c>
      <c r="I16" s="140">
        <v>1399.61</v>
      </c>
      <c r="J16" s="140" t="s">
        <v>202</v>
      </c>
    </row>
    <row r="17" spans="1:18" x14ac:dyDescent="0.2">
      <c r="A17" s="19" t="s">
        <v>33</v>
      </c>
      <c r="B17" s="119">
        <v>3.5163892894726656</v>
      </c>
      <c r="C17" s="119">
        <v>2.2395252869062299</v>
      </c>
      <c r="D17" s="119">
        <v>1.7305164417990904</v>
      </c>
      <c r="E17" s="131">
        <v>1.8213569146169339</v>
      </c>
      <c r="F17" s="131">
        <v>2.3556035591215219</v>
      </c>
      <c r="G17" s="131">
        <v>1.5945162761278331</v>
      </c>
      <c r="H17" s="131">
        <v>1.9510475127082705</v>
      </c>
      <c r="I17" s="131">
        <v>2.4844765977388494</v>
      </c>
      <c r="J17" s="131" t="s">
        <v>202</v>
      </c>
      <c r="K17" s="4"/>
    </row>
    <row r="18" spans="1:18" ht="15.75" x14ac:dyDescent="0.2">
      <c r="A18" s="11" t="s">
        <v>18</v>
      </c>
      <c r="B18" s="126"/>
      <c r="C18" s="126"/>
      <c r="D18" s="126"/>
      <c r="E18" s="137"/>
      <c r="F18" s="138"/>
      <c r="G18" s="138"/>
      <c r="H18" s="138"/>
      <c r="I18" s="138"/>
      <c r="J18" s="138"/>
    </row>
    <row r="19" spans="1:18" x14ac:dyDescent="0.2">
      <c r="A19" s="18" t="s">
        <v>63</v>
      </c>
      <c r="B19" s="127">
        <v>103760.693</v>
      </c>
      <c r="C19" s="127">
        <v>106889.22199999999</v>
      </c>
      <c r="D19" s="127">
        <v>66724.388000000006</v>
      </c>
      <c r="E19" s="127">
        <v>9473.4760000000006</v>
      </c>
      <c r="F19" s="127">
        <v>9583.2710000000006</v>
      </c>
      <c r="G19" s="127">
        <v>9722.5450000000001</v>
      </c>
      <c r="H19" s="127">
        <v>9593.7430000000004</v>
      </c>
      <c r="I19" s="127">
        <v>9729.8340000000007</v>
      </c>
      <c r="J19" s="127" t="s">
        <v>202</v>
      </c>
    </row>
    <row r="20" spans="1:18" x14ac:dyDescent="0.2">
      <c r="A20" s="19" t="s">
        <v>33</v>
      </c>
      <c r="B20" s="119">
        <v>1.7470227599097665</v>
      </c>
      <c r="C20" s="119">
        <v>3.0151388830836012</v>
      </c>
      <c r="D20" s="119">
        <v>7.5882733398312086</v>
      </c>
      <c r="E20" s="119">
        <v>6.0145133995925359</v>
      </c>
      <c r="F20" s="119">
        <v>9.2472198206677181</v>
      </c>
      <c r="G20" s="119">
        <v>9.8097704887593515</v>
      </c>
      <c r="H20" s="119">
        <v>7.4951710472813238</v>
      </c>
      <c r="I20" s="119">
        <v>9.6558157399239786</v>
      </c>
      <c r="J20" s="119" t="s">
        <v>202</v>
      </c>
    </row>
    <row r="21" spans="1:18" x14ac:dyDescent="0.2">
      <c r="A21" s="18" t="s">
        <v>26</v>
      </c>
      <c r="B21" s="127">
        <v>223492</v>
      </c>
      <c r="C21" s="127">
        <v>233619</v>
      </c>
      <c r="D21" s="127">
        <v>139.31300000000002</v>
      </c>
      <c r="E21" s="142">
        <v>20.864999999999998</v>
      </c>
      <c r="F21" s="142">
        <v>21.486000000000001</v>
      </c>
      <c r="G21" s="142">
        <v>23.369</v>
      </c>
      <c r="H21" s="142">
        <v>22.715</v>
      </c>
      <c r="I21" s="142">
        <v>21.260999999999999</v>
      </c>
      <c r="J21" s="142" t="s">
        <v>202</v>
      </c>
    </row>
    <row r="22" spans="1:18" x14ac:dyDescent="0.2">
      <c r="A22" s="19" t="s">
        <v>33</v>
      </c>
      <c r="B22" s="119">
        <v>6.8695427636926931</v>
      </c>
      <c r="C22" s="119">
        <v>4.5312583895620318</v>
      </c>
      <c r="D22" s="119">
        <v>-3.2185680741389056</v>
      </c>
      <c r="E22" s="119">
        <v>-10.412194074710179</v>
      </c>
      <c r="F22" s="119">
        <v>-7.2239734012694896</v>
      </c>
      <c r="G22" s="119">
        <v>-1.1881606765327679</v>
      </c>
      <c r="H22" s="119">
        <v>8.5387996941896027</v>
      </c>
      <c r="I22" s="119">
        <v>1.1754068716093968</v>
      </c>
      <c r="J22" s="119" t="s">
        <v>202</v>
      </c>
    </row>
    <row r="23" spans="1:18" x14ac:dyDescent="0.2">
      <c r="A23" s="18" t="s">
        <v>17</v>
      </c>
      <c r="B23" s="132">
        <v>2.9250457038391353</v>
      </c>
      <c r="C23" s="132">
        <v>1.9538188277086865</v>
      </c>
      <c r="D23" s="132">
        <v>3.0494905385735294</v>
      </c>
      <c r="E23" s="119">
        <v>2.2674418604651247</v>
      </c>
      <c r="F23" s="119">
        <v>3.2144944476914183</v>
      </c>
      <c r="G23" s="119">
        <v>3.7230948225712712</v>
      </c>
      <c r="H23" s="119">
        <v>3.4242600116076494</v>
      </c>
      <c r="I23" s="119">
        <v>4.1714947856315243</v>
      </c>
      <c r="J23" s="119">
        <v>3.8238702201622177</v>
      </c>
    </row>
    <row r="24" spans="1:18" x14ac:dyDescent="0.2">
      <c r="A24" s="19" t="s">
        <v>27</v>
      </c>
      <c r="B24" s="119">
        <v>2.8940290478752129</v>
      </c>
      <c r="C24" s="119">
        <v>2.7760351317440479</v>
      </c>
      <c r="D24" s="132">
        <v>2.6715437452630582</v>
      </c>
      <c r="E24" s="119">
        <v>2.4014778325123221</v>
      </c>
      <c r="F24" s="119">
        <v>2.1459227467811148</v>
      </c>
      <c r="G24" s="119">
        <v>2.6251526251526158</v>
      </c>
      <c r="H24" s="119">
        <v>2.6171637248934676</v>
      </c>
      <c r="I24" s="119">
        <v>3.2786885245901676</v>
      </c>
      <c r="J24" s="119">
        <v>3.037667071688932</v>
      </c>
      <c r="K24" s="5"/>
    </row>
    <row r="25" spans="1:18" x14ac:dyDescent="0.2">
      <c r="A25" s="18" t="s">
        <v>64</v>
      </c>
      <c r="B25" s="134">
        <v>47.826999999999998</v>
      </c>
      <c r="C25" s="134">
        <v>54.857999999999997</v>
      </c>
      <c r="D25" s="134">
        <v>47.651750000000007</v>
      </c>
      <c r="E25" s="141">
        <v>40.634</v>
      </c>
      <c r="F25" s="141">
        <v>38.250999999999998</v>
      </c>
      <c r="G25" s="141">
        <v>58.088000000000001</v>
      </c>
      <c r="H25" s="141">
        <v>51.982999999999997</v>
      </c>
      <c r="I25" s="141">
        <v>47.674999999999997</v>
      </c>
      <c r="J25" s="141">
        <v>53.427</v>
      </c>
    </row>
    <row r="26" spans="1:18" x14ac:dyDescent="0.2">
      <c r="A26" s="19" t="s">
        <v>33</v>
      </c>
      <c r="B26" s="119">
        <v>32.771639553606136</v>
      </c>
      <c r="C26" s="119">
        <v>14.700901164614134</v>
      </c>
      <c r="D26" s="119">
        <v>-15.443428807179494</v>
      </c>
      <c r="E26" s="119">
        <v>-23.253881313035919</v>
      </c>
      <c r="F26" s="119">
        <v>-39.823802406984974</v>
      </c>
      <c r="G26" s="119">
        <v>-15.766882730818866</v>
      </c>
      <c r="H26" s="119">
        <v>-17.899109229894506</v>
      </c>
      <c r="I26" s="119">
        <v>-6.6331126865379346</v>
      </c>
      <c r="J26" s="119">
        <v>13.64303490523897</v>
      </c>
    </row>
    <row r="27" spans="1:18" x14ac:dyDescent="0.2">
      <c r="A27" s="21" t="s">
        <v>34</v>
      </c>
      <c r="B27" s="119">
        <v>2.7659574468085202</v>
      </c>
      <c r="C27" s="119">
        <v>-0.56590752242926534</v>
      </c>
      <c r="D27" s="132">
        <v>-1.6187885130201196</v>
      </c>
      <c r="E27" s="119">
        <v>-1.3957307060755375</v>
      </c>
      <c r="F27" s="119">
        <v>-1.4084507042253502</v>
      </c>
      <c r="G27" s="119">
        <v>-1.8242122719734577</v>
      </c>
      <c r="H27" s="119">
        <v>-1.0833333333333361</v>
      </c>
      <c r="I27" s="119">
        <v>-1.1666666666666714</v>
      </c>
      <c r="J27" s="119">
        <v>-0.50377833753147971</v>
      </c>
    </row>
    <row r="28" spans="1:18" x14ac:dyDescent="0.2">
      <c r="A28" s="18" t="s">
        <v>73</v>
      </c>
      <c r="B28" s="127">
        <v>83472</v>
      </c>
      <c r="C28" s="127">
        <v>76976</v>
      </c>
      <c r="D28" s="127">
        <v>46545</v>
      </c>
      <c r="E28" s="142">
        <v>5586</v>
      </c>
      <c r="F28" s="142">
        <v>5791</v>
      </c>
      <c r="G28" s="142">
        <v>5866</v>
      </c>
      <c r="H28" s="142">
        <v>5927</v>
      </c>
      <c r="I28" s="142">
        <v>5849</v>
      </c>
      <c r="J28" s="142">
        <v>5807</v>
      </c>
    </row>
    <row r="29" spans="1:18" x14ac:dyDescent="0.2">
      <c r="A29" s="19" t="s">
        <v>33</v>
      </c>
      <c r="B29" s="119">
        <v>9.1736639723769997</v>
      </c>
      <c r="C29" s="119">
        <v>-7.7822503354418204</v>
      </c>
      <c r="D29" s="119">
        <v>-10.588393491749425</v>
      </c>
      <c r="E29" s="119">
        <v>-14.390804597701145</v>
      </c>
      <c r="F29" s="119">
        <v>-8.0355724948388172</v>
      </c>
      <c r="G29" s="119">
        <v>-9.0965442429877577</v>
      </c>
      <c r="H29" s="119">
        <v>-6.0846141657423525</v>
      </c>
      <c r="I29" s="119">
        <v>-9.8211532531606522</v>
      </c>
      <c r="J29" s="119">
        <v>-11.814730447987854</v>
      </c>
    </row>
    <row r="30" spans="1:18" x14ac:dyDescent="0.2">
      <c r="A30" s="21" t="s">
        <v>74</v>
      </c>
      <c r="B30" s="133">
        <v>0.73560000000000003</v>
      </c>
      <c r="C30" s="133">
        <v>0.62790000000000001</v>
      </c>
      <c r="D30" s="133">
        <v>0.5839875000000001</v>
      </c>
      <c r="E30" s="143">
        <v>0.58740000000000003</v>
      </c>
      <c r="F30" s="143">
        <v>0.57740000000000002</v>
      </c>
      <c r="G30" s="143">
        <v>0.57020000000000004</v>
      </c>
      <c r="H30" s="143">
        <v>0.59409999999999996</v>
      </c>
      <c r="I30" s="143">
        <v>0.58530000000000004</v>
      </c>
      <c r="J30" s="143">
        <v>0.58379999999999999</v>
      </c>
    </row>
    <row r="31" spans="1:18" ht="15" x14ac:dyDescent="0.25">
      <c r="A31" s="18" t="s">
        <v>75</v>
      </c>
      <c r="B31" s="127">
        <v>494.03300000000002</v>
      </c>
      <c r="C31" s="127">
        <v>512.99</v>
      </c>
      <c r="D31" s="127">
        <v>522.33749999999998</v>
      </c>
      <c r="E31" s="142">
        <v>516.85199999999998</v>
      </c>
      <c r="F31" s="142">
        <v>522.04600000000005</v>
      </c>
      <c r="G31" s="142">
        <v>524.803</v>
      </c>
      <c r="H31" s="142">
        <v>524.41099999999994</v>
      </c>
      <c r="I31" s="142">
        <v>522.56399999999996</v>
      </c>
      <c r="J31" s="142">
        <v>529.88099999999997</v>
      </c>
      <c r="R31" s="29"/>
    </row>
    <row r="32" spans="1:18" x14ac:dyDescent="0.2">
      <c r="A32" s="19" t="s">
        <v>33</v>
      </c>
      <c r="B32" s="119">
        <v>9.6299238633312356</v>
      </c>
      <c r="C32" s="119">
        <v>3.8371930620019201</v>
      </c>
      <c r="D32" s="119">
        <v>2.7259863533516171</v>
      </c>
      <c r="E32" s="119">
        <v>1.4155145416943071</v>
      </c>
      <c r="F32" s="119">
        <v>2.668961109199075</v>
      </c>
      <c r="G32" s="119">
        <v>3.589898463530572</v>
      </c>
      <c r="H32" s="119">
        <v>2.917100875876022</v>
      </c>
      <c r="I32" s="119">
        <v>2.8169374339641839</v>
      </c>
      <c r="J32" s="119">
        <v>3.6302191000138873</v>
      </c>
    </row>
    <row r="33" spans="1:10" x14ac:dyDescent="0.2">
      <c r="A33" s="18" t="s">
        <v>28</v>
      </c>
      <c r="B33" s="152">
        <v>2587</v>
      </c>
      <c r="C33" s="152">
        <v>2615</v>
      </c>
      <c r="D33" s="152">
        <v>1777</v>
      </c>
      <c r="E33" s="144">
        <v>272</v>
      </c>
      <c r="F33" s="144">
        <v>266</v>
      </c>
      <c r="G33" s="144">
        <v>266</v>
      </c>
      <c r="H33" s="144">
        <v>268</v>
      </c>
      <c r="I33" s="144">
        <v>235</v>
      </c>
      <c r="J33" s="144" t="s">
        <v>202</v>
      </c>
    </row>
    <row r="34" spans="1:10" x14ac:dyDescent="0.2">
      <c r="A34" s="19" t="s">
        <v>33</v>
      </c>
      <c r="B34" s="153">
        <v>0.58320373250388968</v>
      </c>
      <c r="C34" s="153">
        <v>1.0823347506764502</v>
      </c>
      <c r="D34" s="153">
        <v>17.061923583662718</v>
      </c>
      <c r="E34" s="96">
        <v>14.285714285714279</v>
      </c>
      <c r="F34" s="96">
        <v>5.9760956175298752</v>
      </c>
      <c r="G34" s="96">
        <v>17.699115044247794</v>
      </c>
      <c r="H34" s="96">
        <v>10.743801652892571</v>
      </c>
      <c r="I34" s="96">
        <v>21.134020618556693</v>
      </c>
      <c r="J34" s="96" t="s">
        <v>202</v>
      </c>
    </row>
    <row r="35" spans="1:10" ht="15.75" x14ac:dyDescent="0.2">
      <c r="A35" s="11" t="s">
        <v>19</v>
      </c>
      <c r="B35" s="126"/>
      <c r="C35" s="126"/>
      <c r="D35" s="126"/>
      <c r="E35" s="137"/>
      <c r="F35" s="138"/>
      <c r="G35" s="138"/>
      <c r="H35" s="138"/>
      <c r="I35" s="138"/>
      <c r="J35" s="138"/>
    </row>
    <row r="36" spans="1:10" x14ac:dyDescent="0.2">
      <c r="A36" s="21" t="s">
        <v>65</v>
      </c>
      <c r="B36" s="127">
        <v>182634.258</v>
      </c>
      <c r="C36" s="127">
        <v>177964.622</v>
      </c>
      <c r="D36" s="127">
        <v>116611.85799999999</v>
      </c>
      <c r="E36" s="139">
        <v>15519.834000000001</v>
      </c>
      <c r="F36" s="139">
        <v>17452.205000000002</v>
      </c>
      <c r="G36" s="139">
        <v>18139.53</v>
      </c>
      <c r="H36" s="139">
        <v>18811.802</v>
      </c>
      <c r="I36" s="139">
        <v>17911.8</v>
      </c>
      <c r="J36" s="139" t="s">
        <v>202</v>
      </c>
    </row>
    <row r="37" spans="1:10" x14ac:dyDescent="0.2">
      <c r="A37" s="19" t="s">
        <v>15</v>
      </c>
      <c r="B37" s="119">
        <v>4.5056578483507082</v>
      </c>
      <c r="C37" s="119">
        <v>-2.5568237039077291</v>
      </c>
      <c r="D37" s="119">
        <v>10.404768334466574</v>
      </c>
      <c r="E37" s="119">
        <v>-3.0749307496697242</v>
      </c>
      <c r="F37" s="119">
        <v>22.597437721169978</v>
      </c>
      <c r="G37" s="119">
        <v>32.491622098100834</v>
      </c>
      <c r="H37" s="119">
        <v>46.118131212387013</v>
      </c>
      <c r="I37" s="119">
        <v>26.348249346172949</v>
      </c>
      <c r="J37" s="119" t="s">
        <v>202</v>
      </c>
    </row>
    <row r="38" spans="1:10" x14ac:dyDescent="0.2">
      <c r="A38" s="19" t="s">
        <v>66</v>
      </c>
      <c r="B38" s="127">
        <v>139156.83499999999</v>
      </c>
      <c r="C38" s="127">
        <v>135452.253</v>
      </c>
      <c r="D38" s="127">
        <v>88996.847000000009</v>
      </c>
      <c r="E38" s="140">
        <v>11759.643</v>
      </c>
      <c r="F38" s="140">
        <v>13263.494000000001</v>
      </c>
      <c r="G38" s="140">
        <v>13764.796</v>
      </c>
      <c r="H38" s="140">
        <v>14761.617</v>
      </c>
      <c r="I38" s="140">
        <v>13683.111000000001</v>
      </c>
      <c r="J38" s="140" t="s">
        <v>202</v>
      </c>
    </row>
    <row r="39" spans="1:10" x14ac:dyDescent="0.2">
      <c r="A39" s="20" t="s">
        <v>15</v>
      </c>
      <c r="B39" s="119">
        <v>6.5067564062370353</v>
      </c>
      <c r="C39" s="119">
        <v>-2.6621631628802156</v>
      </c>
      <c r="D39" s="119">
        <v>10.273870523233386</v>
      </c>
      <c r="E39" s="119">
        <v>0.27665600285284864</v>
      </c>
      <c r="F39" s="119">
        <v>20.945386934682531</v>
      </c>
      <c r="G39" s="119">
        <v>31.507920925928843</v>
      </c>
      <c r="H39" s="119">
        <v>54.661544675369434</v>
      </c>
      <c r="I39" s="119">
        <v>25.159773391575492</v>
      </c>
      <c r="J39" s="119" t="s">
        <v>202</v>
      </c>
    </row>
    <row r="40" spans="1:10" x14ac:dyDescent="0.2">
      <c r="A40" s="19" t="s">
        <v>67</v>
      </c>
      <c r="B40" s="127">
        <v>11279.075000000001</v>
      </c>
      <c r="C40" s="127">
        <v>10684.084999999999</v>
      </c>
      <c r="D40" s="127">
        <v>6748.1409999999996</v>
      </c>
      <c r="E40" s="142">
        <v>915.98599999999999</v>
      </c>
      <c r="F40" s="142">
        <v>1077.0450000000001</v>
      </c>
      <c r="G40" s="142">
        <v>1165.087</v>
      </c>
      <c r="H40" s="142">
        <v>921.77700000000004</v>
      </c>
      <c r="I40" s="142">
        <v>928.07899999999995</v>
      </c>
      <c r="J40" s="142" t="s">
        <v>202</v>
      </c>
    </row>
    <row r="41" spans="1:10" x14ac:dyDescent="0.2">
      <c r="A41" s="20" t="s">
        <v>15</v>
      </c>
      <c r="B41" s="119">
        <v>-5.4900933261316727</v>
      </c>
      <c r="C41" s="119">
        <v>-5.2751666249227007</v>
      </c>
      <c r="D41" s="119">
        <v>6.6792493276565335</v>
      </c>
      <c r="E41" s="119">
        <v>-19.744545437022165</v>
      </c>
      <c r="F41" s="119">
        <v>21.626337043327439</v>
      </c>
      <c r="G41" s="119">
        <v>41.195112226583653</v>
      </c>
      <c r="H41" s="119">
        <v>12.321150485827292</v>
      </c>
      <c r="I41" s="119">
        <v>37.977229748212984</v>
      </c>
      <c r="J41" s="119" t="s">
        <v>202</v>
      </c>
    </row>
    <row r="42" spans="1:10" x14ac:dyDescent="0.2">
      <c r="A42" s="18" t="s">
        <v>30</v>
      </c>
      <c r="B42" s="154">
        <v>143.9375</v>
      </c>
      <c r="C42" s="154">
        <v>140.25833333333335</v>
      </c>
      <c r="D42" s="154">
        <v>153.65625</v>
      </c>
      <c r="E42" s="145">
        <v>143.4</v>
      </c>
      <c r="F42" s="145">
        <v>120.75</v>
      </c>
      <c r="G42" s="145">
        <v>126.25</v>
      </c>
      <c r="H42" s="145">
        <v>145.6</v>
      </c>
      <c r="I42" s="145">
        <v>163</v>
      </c>
      <c r="J42" s="145">
        <v>168</v>
      </c>
    </row>
    <row r="43" spans="1:10" x14ac:dyDescent="0.2">
      <c r="A43" s="19" t="s">
        <v>15</v>
      </c>
      <c r="B43" s="155">
        <v>4.3813264843631794</v>
      </c>
      <c r="C43" s="155">
        <v>-2.5560862642929338</v>
      </c>
      <c r="D43" s="155">
        <v>10.504314994606245</v>
      </c>
      <c r="E43" s="119">
        <v>0.42016806722688926</v>
      </c>
      <c r="F43" s="119">
        <v>5.4585152838428019</v>
      </c>
      <c r="G43" s="119">
        <v>25.310173697270464</v>
      </c>
      <c r="H43" s="119">
        <v>30.465949820788541</v>
      </c>
      <c r="I43" s="119">
        <v>24.427480916030532</v>
      </c>
      <c r="J43" s="119">
        <v>21.739130434782616</v>
      </c>
    </row>
    <row r="44" spans="1:10" x14ac:dyDescent="0.2">
      <c r="A44" s="18" t="s">
        <v>68</v>
      </c>
      <c r="B44" s="127">
        <v>103794.686</v>
      </c>
      <c r="C44" s="127">
        <v>102652.371</v>
      </c>
      <c r="D44" s="127">
        <v>68474.463000000003</v>
      </c>
      <c r="E44" s="140">
        <v>9010.2379999999994</v>
      </c>
      <c r="F44" s="140">
        <v>10417.218000000001</v>
      </c>
      <c r="G44" s="140">
        <v>10577.138000000001</v>
      </c>
      <c r="H44" s="140">
        <v>10719.58</v>
      </c>
      <c r="I44" s="140">
        <v>10428.415000000001</v>
      </c>
      <c r="J44" s="140" t="s">
        <v>202</v>
      </c>
    </row>
    <row r="45" spans="1:10" x14ac:dyDescent="0.2">
      <c r="A45" s="19" t="s">
        <v>29</v>
      </c>
      <c r="B45" s="119">
        <v>-0.47980967543788111</v>
      </c>
      <c r="C45" s="119">
        <v>-1.1005524887854112</v>
      </c>
      <c r="D45" s="119">
        <v>15.630980963352158</v>
      </c>
      <c r="E45" s="119">
        <v>6.5378329973124982</v>
      </c>
      <c r="F45" s="119">
        <v>22.34997232296476</v>
      </c>
      <c r="G45" s="119">
        <v>31.406485757857162</v>
      </c>
      <c r="H45" s="119">
        <v>31.965370043795271</v>
      </c>
      <c r="I45" s="119">
        <v>23.99997193821557</v>
      </c>
      <c r="J45" s="119" t="s">
        <v>202</v>
      </c>
    </row>
    <row r="46" spans="1:10" x14ac:dyDescent="0.2">
      <c r="A46" s="18" t="s">
        <v>69</v>
      </c>
      <c r="B46" s="127">
        <v>109621.451</v>
      </c>
      <c r="C46" s="127">
        <v>115608.25900000001</v>
      </c>
      <c r="D46" s="127">
        <v>69164.192999999999</v>
      </c>
      <c r="E46" s="140">
        <v>9674.4380000000001</v>
      </c>
      <c r="F46" s="140">
        <v>9705.89</v>
      </c>
      <c r="G46" s="140">
        <v>10060.780000000001</v>
      </c>
      <c r="H46" s="140">
        <v>10423.144</v>
      </c>
      <c r="I46" s="140">
        <v>10320.572</v>
      </c>
      <c r="J46" s="140" t="s">
        <v>202</v>
      </c>
    </row>
    <row r="47" spans="1:10" x14ac:dyDescent="0.2">
      <c r="A47" s="19" t="s">
        <v>15</v>
      </c>
      <c r="B47" s="119">
        <v>0.88004016448548494</v>
      </c>
      <c r="C47" s="119">
        <v>5.4613471591431484</v>
      </c>
      <c r="D47" s="119">
        <v>3.0843897873946258</v>
      </c>
      <c r="E47" s="119">
        <v>-0.64926269255008995</v>
      </c>
      <c r="F47" s="119">
        <v>1.6518472712112597E-2</v>
      </c>
      <c r="G47" s="119">
        <v>5.7923442565099403</v>
      </c>
      <c r="H47" s="119">
        <v>11.943544201999522</v>
      </c>
      <c r="I47" s="119">
        <v>7.6645055327830169</v>
      </c>
      <c r="J47" s="119" t="s">
        <v>202</v>
      </c>
    </row>
    <row r="48" spans="1:10" x14ac:dyDescent="0.2">
      <c r="A48" s="21" t="s">
        <v>70</v>
      </c>
      <c r="B48" s="127">
        <v>19360.334999999999</v>
      </c>
      <c r="C48" s="127">
        <v>22725.294999999998</v>
      </c>
      <c r="D48" s="127">
        <v>11497.102999999999</v>
      </c>
      <c r="E48" s="140">
        <v>1562.2460000000001</v>
      </c>
      <c r="F48" s="140">
        <v>1603.6030000000001</v>
      </c>
      <c r="G48" s="140">
        <v>1527.588</v>
      </c>
      <c r="H48" s="140">
        <v>1823.4580000000001</v>
      </c>
      <c r="I48" s="140">
        <v>1570.6869999999999</v>
      </c>
      <c r="J48" s="140" t="s">
        <v>202</v>
      </c>
    </row>
    <row r="49" spans="1:10" x14ac:dyDescent="0.2">
      <c r="A49" s="19" t="s">
        <v>15</v>
      </c>
      <c r="B49" s="119">
        <v>21.737494738528618</v>
      </c>
      <c r="C49" s="119">
        <v>17.380690984944213</v>
      </c>
      <c r="D49" s="119">
        <v>-13.995275280726593</v>
      </c>
      <c r="E49" s="119">
        <v>-20.197115799657851</v>
      </c>
      <c r="F49" s="119">
        <v>-10.830890399380777</v>
      </c>
      <c r="G49" s="119">
        <v>-10.040969487536898</v>
      </c>
      <c r="H49" s="119">
        <v>-9.4341178252760898</v>
      </c>
      <c r="I49" s="119">
        <v>-23.372113502123902</v>
      </c>
      <c r="J49" s="119" t="s">
        <v>202</v>
      </c>
    </row>
    <row r="50" spans="1:10" x14ac:dyDescent="0.2">
      <c r="A50" s="40" t="s">
        <v>71</v>
      </c>
      <c r="B50" s="127">
        <v>13372.968999999999</v>
      </c>
      <c r="C50" s="127">
        <v>14354.361000000001</v>
      </c>
      <c r="D50" s="127">
        <v>7534.0709999999999</v>
      </c>
      <c r="E50" s="140">
        <v>994.00400000000002</v>
      </c>
      <c r="F50" s="140">
        <v>1024.57</v>
      </c>
      <c r="G50" s="140">
        <v>1020.82</v>
      </c>
      <c r="H50" s="140">
        <v>1256.5139999999999</v>
      </c>
      <c r="I50" s="140">
        <v>1103.8710000000001</v>
      </c>
      <c r="J50" s="140" t="s">
        <v>202</v>
      </c>
    </row>
    <row r="51" spans="1:10" x14ac:dyDescent="0.2">
      <c r="A51" s="41" t="s">
        <v>15</v>
      </c>
      <c r="B51" s="119">
        <v>28.937930989266579</v>
      </c>
      <c r="C51" s="119">
        <v>7.3386246539568045</v>
      </c>
      <c r="D51" s="119">
        <v>-12.340357751289577</v>
      </c>
      <c r="E51" s="128">
        <v>-23.502611982798161</v>
      </c>
      <c r="F51" s="128">
        <v>-20.219243874938485</v>
      </c>
      <c r="G51" s="128">
        <v>-12.212296229536957</v>
      </c>
      <c r="H51" s="128">
        <v>11.744267222787919</v>
      </c>
      <c r="I51" s="128">
        <v>-12.018385842869106</v>
      </c>
      <c r="J51" s="128" t="s">
        <v>202</v>
      </c>
    </row>
    <row r="52" spans="1:10" x14ac:dyDescent="0.2">
      <c r="A52" s="40" t="s">
        <v>72</v>
      </c>
      <c r="B52" s="127">
        <v>5987.3649999999998</v>
      </c>
      <c r="C52" s="127">
        <v>8370.9369999999999</v>
      </c>
      <c r="D52" s="127">
        <v>3963.0329999999999</v>
      </c>
      <c r="E52" s="140">
        <v>568.24199999999996</v>
      </c>
      <c r="F52" s="140">
        <v>579.03300000000002</v>
      </c>
      <c r="G52" s="140">
        <v>506.76799999999997</v>
      </c>
      <c r="H52" s="140">
        <v>566.94399999999996</v>
      </c>
      <c r="I52" s="140">
        <v>466.81599999999997</v>
      </c>
      <c r="J52" s="140" t="s">
        <v>202</v>
      </c>
    </row>
    <row r="53" spans="1:10" x14ac:dyDescent="0.2">
      <c r="A53" s="41" t="s">
        <v>15</v>
      </c>
      <c r="B53" s="119">
        <v>8.2370085092928758</v>
      </c>
      <c r="C53" s="119">
        <v>39.810033295113968</v>
      </c>
      <c r="D53" s="119">
        <v>-16.975020646085248</v>
      </c>
      <c r="E53" s="119">
        <v>-13.671864911467789</v>
      </c>
      <c r="F53" s="119">
        <v>12.619030948046483</v>
      </c>
      <c r="G53" s="119">
        <v>-5.3239049816446009</v>
      </c>
      <c r="H53" s="119">
        <v>-36.223184656054897</v>
      </c>
      <c r="I53" s="119">
        <v>-41.288169871097494</v>
      </c>
      <c r="J53" s="119" t="s">
        <v>202</v>
      </c>
    </row>
    <row r="54" spans="1:10" x14ac:dyDescent="0.2">
      <c r="A54" s="42" t="s">
        <v>195</v>
      </c>
      <c r="B54" s="119">
        <v>4.37500000000004</v>
      </c>
      <c r="C54" s="119">
        <v>3.5209580838323262</v>
      </c>
      <c r="D54" s="119">
        <v>3.9645522388059504</v>
      </c>
      <c r="E54" s="129">
        <v>3.9473684210526105</v>
      </c>
      <c r="F54" s="129" t="s">
        <v>202</v>
      </c>
      <c r="G54" s="129" t="s">
        <v>202</v>
      </c>
      <c r="H54" s="129">
        <v>3.9814814814814747</v>
      </c>
      <c r="I54" s="129" t="s">
        <v>202</v>
      </c>
      <c r="J54" s="129" t="s">
        <v>202</v>
      </c>
    </row>
    <row r="55" spans="1:10" x14ac:dyDescent="0.2">
      <c r="A55" s="6"/>
      <c r="B55" s="47"/>
      <c r="C55" s="47"/>
      <c r="D55" s="47"/>
      <c r="E55" s="48"/>
      <c r="F55" s="48"/>
      <c r="G55" s="48"/>
      <c r="H55" s="48"/>
      <c r="I55" s="48"/>
      <c r="J55" s="48"/>
    </row>
    <row r="56" spans="1:10" x14ac:dyDescent="0.2">
      <c r="A56" s="6" t="s">
        <v>82</v>
      </c>
      <c r="I56" s="7"/>
    </row>
    <row r="57" spans="1:10" x14ac:dyDescent="0.2">
      <c r="A57" s="6" t="s">
        <v>13</v>
      </c>
      <c r="I57" s="7"/>
    </row>
    <row r="58" spans="1:10" ht="8.85" customHeight="1" x14ac:dyDescent="0.2">
      <c r="A58" s="6"/>
      <c r="I58" s="7"/>
    </row>
    <row r="59" spans="1:10" x14ac:dyDescent="0.2">
      <c r="A59" s="6" t="s">
        <v>79</v>
      </c>
      <c r="I59" s="7"/>
    </row>
    <row r="60" spans="1:10" ht="12.6" customHeight="1" x14ac:dyDescent="0.2">
      <c r="A60" s="6"/>
      <c r="I60" s="7"/>
    </row>
    <row r="61" spans="1:10" x14ac:dyDescent="0.2">
      <c r="A61" s="6" t="s">
        <v>14</v>
      </c>
      <c r="I61" s="7"/>
    </row>
    <row r="62" spans="1:10" x14ac:dyDescent="0.2">
      <c r="A62" s="6"/>
      <c r="I62" s="7"/>
    </row>
    <row r="63" spans="1:10" x14ac:dyDescent="0.2">
      <c r="A63" s="6" t="s">
        <v>80</v>
      </c>
      <c r="I63" s="7"/>
    </row>
    <row r="64" spans="1:10" ht="12" customHeight="1" x14ac:dyDescent="0.2">
      <c r="A64" s="6"/>
      <c r="I64" s="7"/>
    </row>
    <row r="65" spans="1:9" x14ac:dyDescent="0.2">
      <c r="A65" s="6"/>
      <c r="I65" s="7"/>
    </row>
    <row r="66" spans="1:9" ht="61.5" customHeight="1" x14ac:dyDescent="0.2">
      <c r="A66" s="159" t="s">
        <v>81</v>
      </c>
      <c r="B66" s="159"/>
      <c r="C66" s="159"/>
      <c r="D66" s="159"/>
      <c r="E66" s="159"/>
      <c r="I66" s="7"/>
    </row>
    <row r="67" spans="1:9" x14ac:dyDescent="0.2">
      <c r="A67" s="6"/>
      <c r="I67" s="7"/>
    </row>
    <row r="68" spans="1:9" x14ac:dyDescent="0.2">
      <c r="A68" s="8" t="str">
        <f ca="1">"Prepared by: Alberta Treasury Board and Finance, "&amp;TEXT(A92, "MMMM D, YYYY")</f>
        <v>Prepared by: Alberta Treasury Board and Finance, October 2, 2026</v>
      </c>
    </row>
    <row r="69" spans="1:9" x14ac:dyDescent="0.2">
      <c r="A69" s="8"/>
    </row>
    <row r="70" spans="1:9" x14ac:dyDescent="0.2">
      <c r="A70" s="8" t="s">
        <v>83</v>
      </c>
    </row>
    <row r="92" spans="1:1" x14ac:dyDescent="0.2">
      <c r="A92" s="9" t="str">
        <f ca="1">TEXT(TODAY(),"mmmm d, yyyy")</f>
        <v>October 2, 2026</v>
      </c>
    </row>
    <row r="93" spans="1:1" x14ac:dyDescent="0.2">
      <c r="A93" s="9" t="str">
        <f ca="1">TEXT(TODAY(),"mmmm d, yyyy")</f>
        <v>October 2, 2026</v>
      </c>
    </row>
    <row r="94" spans="1:1" x14ac:dyDescent="0.2">
      <c r="A94" s="9"/>
    </row>
  </sheetData>
  <mergeCells count="2">
    <mergeCell ref="A66:E66"/>
    <mergeCell ref="A1:J1"/>
  </mergeCells>
  <pageMargins left="0.7" right="0.7" top="0.75" bottom="0.75" header="0.3" footer="0.3"/>
  <pageSetup scale="55" orientation="portrait" r:id="rId1"/>
  <headerFooter>
    <oddFooter>&amp;L&amp;1#&amp;"Calibri"&amp;11&amp;K000000Classification: Public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BACC6"/>
  </sheetPr>
  <dimension ref="A1:E342"/>
  <sheetViews>
    <sheetView topLeftCell="A318" zoomScale="120" zoomScaleNormal="120" workbookViewId="0">
      <selection activeCell="L318" sqref="L318"/>
    </sheetView>
  </sheetViews>
  <sheetFormatPr defaultColWidth="9.42578125" defaultRowHeight="12.75" x14ac:dyDescent="0.2"/>
  <cols>
    <col min="1" max="1" width="14.5703125" style="45" customWidth="1"/>
    <col min="2" max="4" width="14.5703125" style="31" customWidth="1"/>
    <col min="5" max="16384" width="9.42578125" style="31"/>
  </cols>
  <sheetData>
    <row r="1" spans="1:4" x14ac:dyDescent="0.2">
      <c r="A1" s="45" t="s">
        <v>92</v>
      </c>
      <c r="C1" s="32" t="s">
        <v>77</v>
      </c>
    </row>
    <row r="3" spans="1:4" s="34" customFormat="1" ht="25.5" x14ac:dyDescent="0.2">
      <c r="A3" s="45"/>
      <c r="B3" s="33" t="s">
        <v>41</v>
      </c>
      <c r="C3" s="33" t="s">
        <v>42</v>
      </c>
      <c r="D3" s="33" t="s">
        <v>43</v>
      </c>
    </row>
    <row r="4" spans="1:4" x14ac:dyDescent="0.2">
      <c r="A4" s="98" t="s">
        <v>93</v>
      </c>
      <c r="B4" s="54">
        <v>8.9206000000000003</v>
      </c>
      <c r="C4" s="54">
        <v>68.040000000000006</v>
      </c>
      <c r="D4" s="54">
        <v>59.119400000000006</v>
      </c>
    </row>
    <row r="5" spans="1:4" x14ac:dyDescent="0.2">
      <c r="A5" s="98" t="s">
        <v>100</v>
      </c>
      <c r="B5" s="54">
        <v>8.9198000000000004</v>
      </c>
      <c r="C5" s="54">
        <v>72.98</v>
      </c>
      <c r="D5" s="54">
        <v>64.060200000000009</v>
      </c>
    </row>
    <row r="6" spans="1:4" x14ac:dyDescent="0.2">
      <c r="A6" s="98" t="s">
        <v>101</v>
      </c>
      <c r="B6" s="54">
        <v>8.9250000000000007</v>
      </c>
      <c r="C6" s="54">
        <v>71.77</v>
      </c>
      <c r="D6" s="54">
        <v>62.844999999999999</v>
      </c>
    </row>
    <row r="7" spans="1:4" x14ac:dyDescent="0.2">
      <c r="A7" s="98" t="s">
        <v>102</v>
      </c>
      <c r="B7" s="54">
        <v>8.9250000000000007</v>
      </c>
      <c r="C7" s="54">
        <v>74.84</v>
      </c>
      <c r="D7" s="54">
        <v>65.915000000000006</v>
      </c>
    </row>
    <row r="8" spans="1:4" x14ac:dyDescent="0.2">
      <c r="A8" s="98" t="s">
        <v>103</v>
      </c>
      <c r="B8" s="54">
        <v>9.8000000000000007</v>
      </c>
      <c r="C8" s="54">
        <v>75.14</v>
      </c>
      <c r="D8" s="54">
        <v>65.34</v>
      </c>
    </row>
    <row r="9" spans="1:4" x14ac:dyDescent="0.2">
      <c r="A9" s="98" t="s">
        <v>94</v>
      </c>
      <c r="B9" s="54">
        <v>9.8000000000000007</v>
      </c>
      <c r="C9" s="54">
        <v>75.034999999999997</v>
      </c>
      <c r="D9" s="54">
        <v>65.234999999999999</v>
      </c>
    </row>
    <row r="10" spans="1:4" x14ac:dyDescent="0.2">
      <c r="A10" s="98" t="s">
        <v>95</v>
      </c>
      <c r="B10" s="54">
        <v>9.65</v>
      </c>
      <c r="C10" s="54">
        <v>74.930000000000007</v>
      </c>
      <c r="D10" s="54">
        <v>65.28</v>
      </c>
    </row>
    <row r="11" spans="1:4" x14ac:dyDescent="0.2">
      <c r="A11" s="98" t="s">
        <v>96</v>
      </c>
      <c r="B11" s="54">
        <v>9.75</v>
      </c>
      <c r="C11" s="54">
        <v>68.510000000000005</v>
      </c>
      <c r="D11" s="54">
        <v>58.760000000000005</v>
      </c>
    </row>
    <row r="12" spans="1:4" x14ac:dyDescent="0.2">
      <c r="A12" s="98" t="s">
        <v>97</v>
      </c>
      <c r="B12" s="54">
        <v>9.85</v>
      </c>
      <c r="C12" s="54">
        <v>64.37</v>
      </c>
      <c r="D12" s="54">
        <v>54.52</v>
      </c>
    </row>
    <row r="13" spans="1:4" x14ac:dyDescent="0.2">
      <c r="A13" s="98" t="s">
        <v>98</v>
      </c>
      <c r="B13" s="54">
        <v>9.9499999999999993</v>
      </c>
      <c r="C13" s="54">
        <v>64.92</v>
      </c>
      <c r="D13" s="54">
        <v>54.97</v>
      </c>
    </row>
    <row r="14" spans="1:4" x14ac:dyDescent="0.2">
      <c r="A14" s="98" t="s">
        <v>99</v>
      </c>
      <c r="B14" s="54">
        <v>9.9</v>
      </c>
      <c r="C14" s="54">
        <v>65.239999999999995</v>
      </c>
      <c r="D14" s="54">
        <v>55.339999999999996</v>
      </c>
    </row>
    <row r="15" spans="1:4" x14ac:dyDescent="0.2">
      <c r="A15" s="98" t="s">
        <v>104</v>
      </c>
      <c r="B15" s="54">
        <v>10</v>
      </c>
      <c r="C15" s="54">
        <v>65.52</v>
      </c>
      <c r="D15" s="54">
        <v>55.519999999999996</v>
      </c>
    </row>
    <row r="16" spans="1:4" x14ac:dyDescent="0.2">
      <c r="A16" s="98" t="s">
        <v>105</v>
      </c>
      <c r="B16" s="54">
        <v>9.9499999999999993</v>
      </c>
      <c r="C16" s="54">
        <v>65.11</v>
      </c>
      <c r="D16" s="54">
        <v>55.16</v>
      </c>
    </row>
    <row r="17" spans="1:4" x14ac:dyDescent="0.2">
      <c r="A17" s="98" t="s">
        <v>106</v>
      </c>
      <c r="B17" s="54">
        <v>9.9499999999999993</v>
      </c>
      <c r="C17" s="54">
        <v>65.45</v>
      </c>
      <c r="D17" s="54">
        <v>55.5</v>
      </c>
    </row>
    <row r="18" spans="1:4" x14ac:dyDescent="0.2">
      <c r="A18" s="98" t="s">
        <v>107</v>
      </c>
      <c r="B18" s="54">
        <v>10.0319</v>
      </c>
      <c r="C18" s="54">
        <v>67.45</v>
      </c>
      <c r="D18" s="54">
        <v>57.418100000000003</v>
      </c>
    </row>
    <row r="19" spans="1:4" x14ac:dyDescent="0.2">
      <c r="A19" s="98" t="s">
        <v>108</v>
      </c>
      <c r="B19" s="54">
        <v>10.1723</v>
      </c>
      <c r="C19" s="54">
        <v>67</v>
      </c>
      <c r="D19" s="54">
        <v>56.8277</v>
      </c>
    </row>
    <row r="20" spans="1:4" x14ac:dyDescent="0.2">
      <c r="A20" s="98" t="s">
        <v>109</v>
      </c>
      <c r="B20" s="54">
        <v>10.1723</v>
      </c>
      <c r="C20" s="54">
        <v>67.465000000000003</v>
      </c>
      <c r="D20" s="54">
        <v>57.292700000000004</v>
      </c>
    </row>
    <row r="21" spans="1:4" x14ac:dyDescent="0.2">
      <c r="A21" s="98" t="s">
        <v>110</v>
      </c>
      <c r="B21" s="54">
        <v>10.231400000000001</v>
      </c>
      <c r="C21" s="54">
        <v>67.930000000000007</v>
      </c>
      <c r="D21" s="54">
        <v>57.698600000000006</v>
      </c>
    </row>
    <row r="22" spans="1:4" x14ac:dyDescent="0.2">
      <c r="A22" s="98" t="s">
        <v>111</v>
      </c>
      <c r="B22" s="54">
        <v>10.232200000000001</v>
      </c>
      <c r="C22" s="54">
        <v>68.33</v>
      </c>
      <c r="D22" s="54">
        <v>58.097799999999999</v>
      </c>
    </row>
    <row r="23" spans="1:4" x14ac:dyDescent="0.2">
      <c r="A23" s="98" t="s">
        <v>112</v>
      </c>
      <c r="B23" s="54">
        <v>10.2256</v>
      </c>
      <c r="C23" s="54">
        <v>68.38</v>
      </c>
      <c r="D23" s="54">
        <v>58.154399999999995</v>
      </c>
    </row>
    <row r="24" spans="1:4" x14ac:dyDescent="0.2">
      <c r="A24" s="98" t="s">
        <v>113</v>
      </c>
      <c r="B24" s="54">
        <v>10.193199999999999</v>
      </c>
      <c r="C24" s="54">
        <v>66.569999999999993</v>
      </c>
      <c r="D24" s="54">
        <v>56.376799999999996</v>
      </c>
    </row>
    <row r="25" spans="1:4" x14ac:dyDescent="0.2">
      <c r="A25" s="98" t="s">
        <v>114</v>
      </c>
      <c r="B25" s="54">
        <v>10.173400000000001</v>
      </c>
      <c r="C25" s="54">
        <v>68.45</v>
      </c>
      <c r="D25" s="54">
        <v>58.276600000000002</v>
      </c>
    </row>
    <row r="26" spans="1:4" x14ac:dyDescent="0.2">
      <c r="A26" s="98" t="s">
        <v>115</v>
      </c>
      <c r="B26" s="54">
        <v>10.1952</v>
      </c>
      <c r="C26" s="54">
        <v>66.98</v>
      </c>
      <c r="D26" s="54">
        <v>56.784800000000004</v>
      </c>
    </row>
    <row r="27" spans="1:4" x14ac:dyDescent="0.2">
      <c r="A27" s="98" t="s">
        <v>116</v>
      </c>
      <c r="B27" s="54">
        <v>10.229100000000001</v>
      </c>
      <c r="C27" s="54">
        <v>66.52</v>
      </c>
      <c r="D27" s="54">
        <v>56.290899999999993</v>
      </c>
    </row>
    <row r="28" spans="1:4" x14ac:dyDescent="0.2">
      <c r="A28" s="98" t="s">
        <v>117</v>
      </c>
      <c r="B28" s="54">
        <v>10.2867</v>
      </c>
      <c r="C28" s="54">
        <v>66.38</v>
      </c>
      <c r="D28" s="54">
        <v>56.093299999999999</v>
      </c>
    </row>
    <row r="29" spans="1:4" x14ac:dyDescent="0.2">
      <c r="A29" s="98" t="s">
        <v>118</v>
      </c>
      <c r="B29" s="54">
        <v>10.3177</v>
      </c>
      <c r="C29" s="54">
        <v>67.540000000000006</v>
      </c>
      <c r="D29" s="54">
        <v>57.222300000000004</v>
      </c>
    </row>
    <row r="30" spans="1:4" x14ac:dyDescent="0.2">
      <c r="A30" s="98" t="s">
        <v>124</v>
      </c>
      <c r="B30" s="54">
        <v>10.317600000000001</v>
      </c>
      <c r="C30" s="54">
        <v>67.34</v>
      </c>
      <c r="D30" s="54">
        <v>57.022400000000005</v>
      </c>
    </row>
    <row r="31" spans="1:4" x14ac:dyDescent="0.2">
      <c r="A31" s="98" t="s">
        <v>125</v>
      </c>
      <c r="B31" s="54">
        <v>11.25</v>
      </c>
      <c r="C31" s="54">
        <v>67.2</v>
      </c>
      <c r="D31" s="54">
        <v>55.95</v>
      </c>
    </row>
    <row r="32" spans="1:4" x14ac:dyDescent="0.2">
      <c r="A32" s="98" t="s">
        <v>126</v>
      </c>
      <c r="B32" s="54">
        <v>11.1</v>
      </c>
      <c r="C32" s="54">
        <v>66.209999999999994</v>
      </c>
      <c r="D32" s="54">
        <v>55.109999999999992</v>
      </c>
    </row>
    <row r="33" spans="1:4" x14ac:dyDescent="0.2">
      <c r="A33" s="98" t="s">
        <v>127</v>
      </c>
      <c r="B33" s="54">
        <v>11.15</v>
      </c>
      <c r="C33" s="54">
        <v>65.25</v>
      </c>
      <c r="D33" s="54">
        <v>54.1</v>
      </c>
    </row>
    <row r="34" spans="1:4" x14ac:dyDescent="0.2">
      <c r="A34" s="98" t="s">
        <v>128</v>
      </c>
      <c r="B34" s="54">
        <v>11.25</v>
      </c>
      <c r="C34" s="54">
        <v>66.03</v>
      </c>
      <c r="D34" s="54">
        <v>54.78</v>
      </c>
    </row>
    <row r="35" spans="1:4" x14ac:dyDescent="0.2">
      <c r="A35" s="98" t="s">
        <v>119</v>
      </c>
      <c r="B35" s="54">
        <v>11.3</v>
      </c>
      <c r="C35" s="54">
        <v>65.16</v>
      </c>
      <c r="D35" s="54">
        <v>53.86</v>
      </c>
    </row>
    <row r="36" spans="1:4" x14ac:dyDescent="0.2">
      <c r="A36" s="98" t="s">
        <v>120</v>
      </c>
      <c r="B36" s="54">
        <v>11.4</v>
      </c>
      <c r="C36" s="54">
        <v>66.709999999999994</v>
      </c>
      <c r="D36" s="54">
        <v>55.309999999999995</v>
      </c>
    </row>
    <row r="37" spans="1:4" x14ac:dyDescent="0.2">
      <c r="A37" s="98" t="s">
        <v>121</v>
      </c>
      <c r="B37" s="54">
        <v>11.65</v>
      </c>
      <c r="C37" s="54">
        <v>69.209999999999994</v>
      </c>
      <c r="D37" s="54">
        <v>57.559999999999995</v>
      </c>
    </row>
    <row r="38" spans="1:4" x14ac:dyDescent="0.2">
      <c r="A38" s="99" t="s">
        <v>122</v>
      </c>
      <c r="B38" s="54">
        <v>11.7</v>
      </c>
      <c r="C38" s="54">
        <v>70</v>
      </c>
      <c r="D38" s="54">
        <v>58.3</v>
      </c>
    </row>
    <row r="39" spans="1:4" x14ac:dyDescent="0.2">
      <c r="A39" s="99" t="s">
        <v>123</v>
      </c>
      <c r="B39" s="54">
        <v>11.65</v>
      </c>
      <c r="C39" s="54">
        <v>69.260000000000005</v>
      </c>
      <c r="D39" s="54">
        <v>57.610000000000007</v>
      </c>
    </row>
    <row r="40" spans="1:4" x14ac:dyDescent="0.2">
      <c r="A40" s="99" t="s">
        <v>129</v>
      </c>
      <c r="B40" s="54">
        <v>11.76</v>
      </c>
      <c r="C40" s="54">
        <v>67.33</v>
      </c>
      <c r="D40" s="54">
        <v>55.57</v>
      </c>
    </row>
    <row r="41" spans="1:4" x14ac:dyDescent="0.2">
      <c r="A41" s="99" t="s">
        <v>130</v>
      </c>
      <c r="B41" s="54">
        <v>11.76</v>
      </c>
      <c r="C41" s="54">
        <v>66.290000000000006</v>
      </c>
      <c r="D41" s="54">
        <v>54.530000000000008</v>
      </c>
    </row>
    <row r="42" spans="1:4" x14ac:dyDescent="0.2">
      <c r="A42" s="99" t="s">
        <v>131</v>
      </c>
      <c r="B42" s="54">
        <v>11.724500000000001</v>
      </c>
      <c r="C42" s="54">
        <v>65.16</v>
      </c>
      <c r="D42" s="54">
        <v>53.435499999999998</v>
      </c>
    </row>
    <row r="43" spans="1:4" x14ac:dyDescent="0.2">
      <c r="A43" s="99" t="s">
        <v>132</v>
      </c>
      <c r="B43" s="54">
        <v>11.760400000000001</v>
      </c>
      <c r="C43" s="54">
        <v>64.349999999999994</v>
      </c>
      <c r="D43" s="54">
        <v>52.58959999999999</v>
      </c>
    </row>
    <row r="44" spans="1:4" x14ac:dyDescent="0.2">
      <c r="A44" s="99" t="s">
        <v>133</v>
      </c>
      <c r="B44" s="54">
        <v>11.8093</v>
      </c>
      <c r="C44" s="54">
        <v>63.88</v>
      </c>
      <c r="D44" s="54">
        <v>52.070700000000002</v>
      </c>
    </row>
    <row r="45" spans="1:4" x14ac:dyDescent="0.2">
      <c r="A45" s="99" t="s">
        <v>134</v>
      </c>
      <c r="B45" s="54">
        <v>11.825699999999999</v>
      </c>
      <c r="C45" s="54">
        <v>63.88</v>
      </c>
      <c r="D45" s="54">
        <v>52.054300000000005</v>
      </c>
    </row>
    <row r="46" spans="1:4" x14ac:dyDescent="0.2">
      <c r="A46" s="99" t="s">
        <v>135</v>
      </c>
      <c r="B46" s="54">
        <v>11.899900000000001</v>
      </c>
      <c r="C46" s="54">
        <v>63.96</v>
      </c>
      <c r="D46" s="54">
        <v>52.060099999999998</v>
      </c>
    </row>
    <row r="47" spans="1:4" x14ac:dyDescent="0.2">
      <c r="A47" s="99" t="s">
        <v>136</v>
      </c>
      <c r="B47" s="54">
        <v>11.9398</v>
      </c>
      <c r="C47" s="54">
        <v>63.17</v>
      </c>
      <c r="D47" s="54">
        <v>51.230200000000004</v>
      </c>
    </row>
    <row r="48" spans="1:4" x14ac:dyDescent="0.2">
      <c r="A48" s="99" t="s">
        <v>137</v>
      </c>
      <c r="B48" s="54">
        <v>11.9261</v>
      </c>
      <c r="C48" s="54">
        <v>62.65</v>
      </c>
      <c r="D48" s="54">
        <v>50.7239</v>
      </c>
    </row>
    <row r="49" spans="1:4" x14ac:dyDescent="0.2">
      <c r="A49" s="99" t="s">
        <v>138</v>
      </c>
      <c r="B49" s="54">
        <v>11.9107</v>
      </c>
      <c r="C49" s="54">
        <v>63.96</v>
      </c>
      <c r="D49" s="54">
        <v>52.049300000000002</v>
      </c>
    </row>
    <row r="50" spans="1:4" x14ac:dyDescent="0.2">
      <c r="A50" s="99" t="s">
        <v>139</v>
      </c>
      <c r="B50" s="54">
        <v>11.895300000000001</v>
      </c>
      <c r="C50" s="54">
        <v>62.8</v>
      </c>
      <c r="D50" s="54">
        <v>50.904699999999998</v>
      </c>
    </row>
    <row r="51" spans="1:4" x14ac:dyDescent="0.2">
      <c r="A51" s="99" t="s">
        <v>140</v>
      </c>
      <c r="B51" s="54">
        <v>11.895300000000001</v>
      </c>
      <c r="C51" s="54">
        <v>63.42</v>
      </c>
      <c r="D51" s="54">
        <v>51.524700000000003</v>
      </c>
    </row>
    <row r="52" spans="1:4" x14ac:dyDescent="0.2">
      <c r="A52" s="99" t="s">
        <v>141</v>
      </c>
      <c r="B52" s="54">
        <v>12.8</v>
      </c>
      <c r="C52" s="54">
        <v>62.35</v>
      </c>
      <c r="D52" s="54">
        <v>49.55</v>
      </c>
    </row>
    <row r="53" spans="1:4" x14ac:dyDescent="0.2">
      <c r="A53" s="99" t="s">
        <v>142</v>
      </c>
      <c r="B53" s="54">
        <v>12.85</v>
      </c>
      <c r="C53" s="54">
        <v>63.21</v>
      </c>
      <c r="D53" s="54">
        <v>50.36</v>
      </c>
    </row>
    <row r="54" spans="1:4" x14ac:dyDescent="0.2">
      <c r="A54" s="99" t="s">
        <v>143</v>
      </c>
      <c r="B54" s="54">
        <v>12.4</v>
      </c>
      <c r="C54" s="54">
        <v>63.52</v>
      </c>
      <c r="D54" s="54">
        <v>51.120000000000005</v>
      </c>
    </row>
    <row r="55" spans="1:4" x14ac:dyDescent="0.2">
      <c r="A55" s="99" t="s">
        <v>144</v>
      </c>
      <c r="B55" s="54">
        <v>12.35</v>
      </c>
      <c r="C55" s="54">
        <v>63.66</v>
      </c>
      <c r="D55" s="54">
        <v>51.309999999999995</v>
      </c>
    </row>
    <row r="56" spans="1:4" x14ac:dyDescent="0.2">
      <c r="A56" s="99" t="s">
        <v>145</v>
      </c>
      <c r="B56" s="54">
        <v>12.45</v>
      </c>
      <c r="C56" s="54">
        <v>64.8</v>
      </c>
      <c r="D56" s="54">
        <v>52.349999999999994</v>
      </c>
    </row>
    <row r="57" spans="1:4" x14ac:dyDescent="0.2">
      <c r="A57" s="99" t="s">
        <v>146</v>
      </c>
      <c r="B57" s="54">
        <v>12.5</v>
      </c>
      <c r="C57" s="54">
        <v>63.25</v>
      </c>
      <c r="D57" s="54">
        <v>50.75</v>
      </c>
    </row>
    <row r="58" spans="1:4" x14ac:dyDescent="0.2">
      <c r="A58" s="99" t="s">
        <v>147</v>
      </c>
      <c r="B58" s="54">
        <v>12.3</v>
      </c>
      <c r="C58" s="54">
        <v>64.150000000000006</v>
      </c>
      <c r="D58" s="54">
        <v>51.850000000000009</v>
      </c>
    </row>
    <row r="59" spans="1:4" x14ac:dyDescent="0.2">
      <c r="A59" s="99" t="s">
        <v>148</v>
      </c>
      <c r="B59" s="54">
        <v>12</v>
      </c>
      <c r="C59" s="54">
        <v>64.599999999999994</v>
      </c>
      <c r="D59" s="54">
        <v>52.599999999999994</v>
      </c>
    </row>
    <row r="60" spans="1:4" x14ac:dyDescent="0.2">
      <c r="A60" s="99" t="s">
        <v>149</v>
      </c>
      <c r="B60" s="54">
        <v>12</v>
      </c>
      <c r="C60" s="54">
        <v>64.010000000000005</v>
      </c>
      <c r="D60" s="54">
        <v>52.010000000000005</v>
      </c>
    </row>
    <row r="61" spans="1:4" x14ac:dyDescent="0.2">
      <c r="A61" s="99" t="s">
        <v>150</v>
      </c>
      <c r="B61" s="54">
        <v>12</v>
      </c>
      <c r="C61" s="54">
        <v>64.800000000000011</v>
      </c>
      <c r="D61" s="54">
        <v>52.800000000000011</v>
      </c>
    </row>
    <row r="62" spans="1:4" x14ac:dyDescent="0.2">
      <c r="A62" s="99" t="s">
        <v>151</v>
      </c>
      <c r="B62" s="54">
        <v>11.7834</v>
      </c>
      <c r="C62" s="54">
        <v>65.59</v>
      </c>
      <c r="D62" s="54">
        <v>53.806600000000003</v>
      </c>
    </row>
    <row r="63" spans="1:4" x14ac:dyDescent="0.2">
      <c r="A63" s="99" t="s">
        <v>152</v>
      </c>
      <c r="B63" s="54">
        <v>11.650499999999999</v>
      </c>
      <c r="C63" s="54">
        <v>63.97</v>
      </c>
      <c r="D63" s="54">
        <v>52.319499999999998</v>
      </c>
    </row>
    <row r="64" spans="1:4" x14ac:dyDescent="0.2">
      <c r="A64" s="99" t="s">
        <v>153</v>
      </c>
      <c r="B64" s="54">
        <v>11.6081</v>
      </c>
      <c r="C64" s="54">
        <v>63.48</v>
      </c>
      <c r="D64" s="54">
        <v>51.871899999999997</v>
      </c>
    </row>
    <row r="65" spans="1:4" x14ac:dyDescent="0.2">
      <c r="A65" s="99" t="s">
        <v>154</v>
      </c>
      <c r="B65" s="54">
        <v>11.599600000000001</v>
      </c>
      <c r="C65" s="54">
        <v>61.87</v>
      </c>
      <c r="D65" s="54">
        <v>50.270399999999995</v>
      </c>
    </row>
    <row r="66" spans="1:4" x14ac:dyDescent="0.2">
      <c r="A66" s="99" t="s">
        <v>155</v>
      </c>
      <c r="B66" s="54">
        <v>11.566000000000001</v>
      </c>
      <c r="C66" s="54">
        <v>62.26</v>
      </c>
      <c r="D66" s="54">
        <v>50.693999999999996</v>
      </c>
    </row>
    <row r="67" spans="1:4" x14ac:dyDescent="0.2">
      <c r="A67" s="99" t="s">
        <v>156</v>
      </c>
      <c r="B67" s="54">
        <v>11.5212</v>
      </c>
      <c r="C67" s="54">
        <v>62.63</v>
      </c>
      <c r="D67" s="54">
        <v>51.108800000000002</v>
      </c>
    </row>
    <row r="68" spans="1:4" x14ac:dyDescent="0.2">
      <c r="A68" s="99" t="s">
        <v>157</v>
      </c>
      <c r="B68" s="54">
        <v>11.4842</v>
      </c>
      <c r="C68" s="54">
        <v>63.67</v>
      </c>
      <c r="D68" s="54">
        <v>52.1858</v>
      </c>
    </row>
    <row r="69" spans="1:4" x14ac:dyDescent="0.2">
      <c r="A69" s="99" t="s">
        <v>158</v>
      </c>
      <c r="B69" s="54">
        <v>11.469799999999999</v>
      </c>
      <c r="C69" s="54">
        <v>62.37</v>
      </c>
      <c r="D69" s="54">
        <v>50.900199999999998</v>
      </c>
    </row>
    <row r="70" spans="1:4" x14ac:dyDescent="0.2">
      <c r="A70" s="99" t="s">
        <v>164</v>
      </c>
      <c r="B70" s="54">
        <v>11.456200000000001</v>
      </c>
      <c r="C70" s="54">
        <v>62.69</v>
      </c>
      <c r="D70" s="54">
        <v>51.233799999999995</v>
      </c>
    </row>
    <row r="71" spans="1:4" x14ac:dyDescent="0.2">
      <c r="A71" s="99" t="s">
        <v>165</v>
      </c>
      <c r="B71" s="54">
        <v>11.4466</v>
      </c>
      <c r="C71" s="54">
        <v>63.3</v>
      </c>
      <c r="D71" s="54">
        <v>51.853399999999993</v>
      </c>
    </row>
    <row r="72" spans="1:4" x14ac:dyDescent="0.2">
      <c r="A72" s="99" t="s">
        <v>166</v>
      </c>
      <c r="B72" s="54">
        <v>11.4466</v>
      </c>
      <c r="C72" s="54">
        <v>64.52</v>
      </c>
      <c r="D72" s="54">
        <v>53.073399999999992</v>
      </c>
    </row>
    <row r="73" spans="1:4" x14ac:dyDescent="0.2">
      <c r="A73" s="99" t="s">
        <v>167</v>
      </c>
      <c r="B73" s="54">
        <v>11.2</v>
      </c>
      <c r="C73" s="54">
        <v>64.05</v>
      </c>
      <c r="D73" s="54">
        <v>52.849999999999994</v>
      </c>
    </row>
    <row r="74" spans="1:4" x14ac:dyDescent="0.2">
      <c r="A74" s="99" t="s">
        <v>168</v>
      </c>
      <c r="B74" s="54">
        <v>11.25</v>
      </c>
      <c r="C74" s="54">
        <v>63.57</v>
      </c>
      <c r="D74" s="54">
        <v>52.32</v>
      </c>
    </row>
    <row r="75" spans="1:4" x14ac:dyDescent="0.2">
      <c r="A75" s="99" t="s">
        <v>169</v>
      </c>
      <c r="B75" s="54">
        <v>11.15</v>
      </c>
      <c r="C75" s="54">
        <v>62.68</v>
      </c>
      <c r="D75" s="54">
        <v>51.53</v>
      </c>
    </row>
    <row r="76" spans="1:4" x14ac:dyDescent="0.2">
      <c r="A76" s="99" t="s">
        <v>170</v>
      </c>
      <c r="B76" s="54">
        <v>11.15</v>
      </c>
      <c r="C76" s="54">
        <v>62.64</v>
      </c>
      <c r="D76" s="54">
        <v>51.49</v>
      </c>
    </row>
    <row r="77" spans="1:4" x14ac:dyDescent="0.2">
      <c r="A77" s="99" t="s">
        <v>171</v>
      </c>
      <c r="B77" s="54">
        <v>11.2</v>
      </c>
      <c r="C77" s="54">
        <v>63.41</v>
      </c>
      <c r="D77" s="54">
        <v>52.209999999999994</v>
      </c>
    </row>
    <row r="78" spans="1:4" x14ac:dyDescent="0.2">
      <c r="A78" s="99" t="s">
        <v>172</v>
      </c>
      <c r="B78" s="54">
        <v>11.1</v>
      </c>
      <c r="C78" s="54">
        <v>64.989999999999995</v>
      </c>
      <c r="D78" s="54">
        <v>53.889999999999993</v>
      </c>
    </row>
    <row r="79" spans="1:4" x14ac:dyDescent="0.2">
      <c r="A79" s="99" t="s">
        <v>173</v>
      </c>
      <c r="B79" s="54">
        <v>11.15</v>
      </c>
      <c r="C79" s="54">
        <v>64.98</v>
      </c>
      <c r="D79" s="54">
        <v>53.830000000000005</v>
      </c>
    </row>
    <row r="80" spans="1:4" x14ac:dyDescent="0.2">
      <c r="A80" s="99" t="s">
        <v>159</v>
      </c>
      <c r="B80" s="54">
        <v>11.3</v>
      </c>
      <c r="C80" s="54">
        <v>65.72</v>
      </c>
      <c r="D80" s="54">
        <v>54.42</v>
      </c>
    </row>
    <row r="81" spans="1:4" x14ac:dyDescent="0.2">
      <c r="A81" s="99" t="s">
        <v>160</v>
      </c>
      <c r="B81" s="54">
        <v>11.4</v>
      </c>
      <c r="C81" s="54">
        <v>63.45</v>
      </c>
      <c r="D81" s="54">
        <v>52.050000000000004</v>
      </c>
    </row>
    <row r="82" spans="1:4" x14ac:dyDescent="0.2">
      <c r="A82" s="99" t="s">
        <v>161</v>
      </c>
      <c r="B82" s="54">
        <v>11.5</v>
      </c>
      <c r="C82" s="54">
        <v>62.37</v>
      </c>
      <c r="D82" s="54">
        <v>50.87</v>
      </c>
    </row>
    <row r="83" spans="1:4" x14ac:dyDescent="0.2">
      <c r="A83" s="99" t="s">
        <v>162</v>
      </c>
      <c r="B83" s="54">
        <v>11.2454</v>
      </c>
      <c r="C83" s="54">
        <v>61.78</v>
      </c>
      <c r="D83" s="54">
        <v>50.534599999999998</v>
      </c>
    </row>
    <row r="84" spans="1:4" x14ac:dyDescent="0.2">
      <c r="A84" s="99" t="s">
        <v>163</v>
      </c>
      <c r="B84" s="54">
        <v>11.1738</v>
      </c>
      <c r="C84" s="54">
        <v>60.48</v>
      </c>
      <c r="D84" s="54">
        <v>49.306199999999997</v>
      </c>
    </row>
    <row r="85" spans="1:4" x14ac:dyDescent="0.2">
      <c r="A85" s="99" t="s">
        <v>174</v>
      </c>
      <c r="B85" s="54">
        <v>11.1349</v>
      </c>
      <c r="C85" s="54">
        <v>60.88</v>
      </c>
      <c r="D85" s="54">
        <v>49.745100000000001</v>
      </c>
    </row>
    <row r="86" spans="1:4" x14ac:dyDescent="0.2">
      <c r="A86" s="99" t="s">
        <v>175</v>
      </c>
      <c r="B86" s="54">
        <v>11.060499999999999</v>
      </c>
      <c r="C86" s="54">
        <v>61.69</v>
      </c>
      <c r="D86" s="54">
        <v>50.6295</v>
      </c>
    </row>
    <row r="87" spans="1:4" x14ac:dyDescent="0.2">
      <c r="A87" s="99" t="s">
        <v>176</v>
      </c>
      <c r="B87" s="54">
        <v>10.9011</v>
      </c>
      <c r="C87" s="54">
        <v>61.73</v>
      </c>
      <c r="D87" s="54">
        <v>50.828899999999997</v>
      </c>
    </row>
    <row r="88" spans="1:4" x14ac:dyDescent="0.2">
      <c r="A88" s="99" t="s">
        <v>177</v>
      </c>
      <c r="B88" s="54">
        <v>10.849299999999999</v>
      </c>
      <c r="C88" s="54">
        <v>62.55</v>
      </c>
      <c r="D88" s="54">
        <v>51.700699999999998</v>
      </c>
    </row>
    <row r="89" spans="1:4" x14ac:dyDescent="0.2">
      <c r="A89" s="99" t="s">
        <v>178</v>
      </c>
      <c r="B89" s="54">
        <v>10.808199999999999</v>
      </c>
      <c r="C89" s="54">
        <v>61.51</v>
      </c>
      <c r="D89" s="54">
        <v>50.701799999999999</v>
      </c>
    </row>
    <row r="90" spans="1:4" x14ac:dyDescent="0.2">
      <c r="A90" s="99" t="s">
        <v>180</v>
      </c>
      <c r="B90" s="54">
        <v>10.7887</v>
      </c>
      <c r="C90" s="54">
        <v>58.9</v>
      </c>
      <c r="D90" s="54">
        <v>48.1113</v>
      </c>
    </row>
    <row r="91" spans="1:4" x14ac:dyDescent="0.2">
      <c r="A91" s="99" t="s">
        <v>181</v>
      </c>
      <c r="B91" s="54">
        <v>10.7887</v>
      </c>
      <c r="C91" s="54">
        <v>59.49</v>
      </c>
      <c r="D91" s="54">
        <v>48.701300000000003</v>
      </c>
    </row>
    <row r="92" spans="1:4" x14ac:dyDescent="0.2">
      <c r="A92" s="99" t="s">
        <v>182</v>
      </c>
      <c r="B92" s="54">
        <v>10.7654</v>
      </c>
      <c r="C92" s="54">
        <v>58.7</v>
      </c>
      <c r="D92" s="54">
        <v>47.934600000000003</v>
      </c>
    </row>
    <row r="93" spans="1:4" x14ac:dyDescent="0.2">
      <c r="A93" s="99" t="s">
        <v>183</v>
      </c>
      <c r="B93" s="54">
        <v>10.744899999999999</v>
      </c>
      <c r="C93" s="54">
        <v>58.27</v>
      </c>
      <c r="D93" s="54">
        <v>47.525100000000002</v>
      </c>
    </row>
    <row r="94" spans="1:4" x14ac:dyDescent="0.2">
      <c r="A94" s="99" t="s">
        <v>179</v>
      </c>
      <c r="B94" s="54">
        <v>10.7097</v>
      </c>
      <c r="C94" s="54">
        <v>57.46</v>
      </c>
      <c r="D94" s="54">
        <v>46.750300000000003</v>
      </c>
    </row>
    <row r="95" spans="1:4" x14ac:dyDescent="0.2">
      <c r="A95" s="99" t="s">
        <v>184</v>
      </c>
      <c r="B95" s="54">
        <v>10.711499999999999</v>
      </c>
      <c r="C95" s="54">
        <v>57.54</v>
      </c>
      <c r="D95" s="54">
        <v>46.828499999999998</v>
      </c>
    </row>
    <row r="96" spans="1:4" x14ac:dyDescent="0.2">
      <c r="A96" s="99" t="s">
        <v>185</v>
      </c>
      <c r="B96" s="54">
        <v>10.711499999999999</v>
      </c>
      <c r="C96" s="54">
        <v>57.52</v>
      </c>
      <c r="D96" s="54">
        <v>46.808500000000002</v>
      </c>
    </row>
    <row r="97" spans="1:4" x14ac:dyDescent="0.2">
      <c r="A97" s="99" t="s">
        <v>186</v>
      </c>
      <c r="B97" s="54">
        <v>12.1</v>
      </c>
      <c r="C97" s="54">
        <v>57.82</v>
      </c>
      <c r="D97" s="54">
        <v>45.72</v>
      </c>
    </row>
    <row r="98" spans="1:4" x14ac:dyDescent="0.2">
      <c r="A98" s="99" t="s">
        <v>187</v>
      </c>
      <c r="B98" s="54">
        <v>12.15</v>
      </c>
      <c r="C98" s="54">
        <v>58.5</v>
      </c>
      <c r="D98" s="54">
        <v>46.35</v>
      </c>
    </row>
    <row r="99" spans="1:4" x14ac:dyDescent="0.2">
      <c r="A99" s="99" t="s">
        <v>188</v>
      </c>
      <c r="B99" s="54">
        <v>11.95</v>
      </c>
      <c r="C99" s="54">
        <v>61.79</v>
      </c>
      <c r="D99" s="54">
        <v>49.84</v>
      </c>
    </row>
    <row r="100" spans="1:4" x14ac:dyDescent="0.2">
      <c r="A100" s="99" t="s">
        <v>189</v>
      </c>
      <c r="B100" s="54">
        <v>12.1</v>
      </c>
      <c r="C100" s="54">
        <v>61.5</v>
      </c>
      <c r="D100" s="54">
        <v>49.4</v>
      </c>
    </row>
    <row r="101" spans="1:4" x14ac:dyDescent="0.2">
      <c r="A101" s="99" t="s">
        <v>190</v>
      </c>
      <c r="B101" s="54">
        <v>12</v>
      </c>
      <c r="C101" s="54">
        <v>61.31</v>
      </c>
      <c r="D101" s="54">
        <v>49.31</v>
      </c>
    </row>
    <row r="102" spans="1:4" x14ac:dyDescent="0.2">
      <c r="A102" s="99" t="s">
        <v>191</v>
      </c>
      <c r="B102" s="54">
        <v>12.1</v>
      </c>
      <c r="C102" s="54">
        <v>60.15</v>
      </c>
      <c r="D102" s="54">
        <v>48.05</v>
      </c>
    </row>
    <row r="103" spans="1:4" x14ac:dyDescent="0.2">
      <c r="A103" s="99" t="s">
        <v>192</v>
      </c>
      <c r="B103" s="54">
        <v>11.9</v>
      </c>
      <c r="C103" s="54">
        <v>60.48</v>
      </c>
      <c r="D103" s="54">
        <v>48.58</v>
      </c>
    </row>
    <row r="104" spans="1:4" x14ac:dyDescent="0.2">
      <c r="A104" s="99" t="s">
        <v>193</v>
      </c>
      <c r="B104" s="54">
        <v>11.9</v>
      </c>
      <c r="C104" s="54">
        <v>60.57</v>
      </c>
      <c r="D104" s="54">
        <v>48.67</v>
      </c>
    </row>
    <row r="105" spans="1:4" x14ac:dyDescent="0.2">
      <c r="A105" s="99" t="s">
        <v>196</v>
      </c>
      <c r="B105" s="54">
        <v>11.8</v>
      </c>
      <c r="C105" s="54">
        <v>60.98</v>
      </c>
      <c r="D105" s="54">
        <v>49.179999999999993</v>
      </c>
    </row>
    <row r="106" spans="1:4" x14ac:dyDescent="0.2">
      <c r="A106" s="99" t="s">
        <v>197</v>
      </c>
      <c r="B106" s="54">
        <v>11.3688</v>
      </c>
      <c r="C106" s="54">
        <v>61.05</v>
      </c>
      <c r="D106" s="54">
        <v>49.681199999999997</v>
      </c>
    </row>
    <row r="107" spans="1:4" x14ac:dyDescent="0.2">
      <c r="A107" s="99" t="s">
        <v>198</v>
      </c>
      <c r="B107" s="54">
        <v>11.2272</v>
      </c>
      <c r="C107" s="54">
        <v>60.56</v>
      </c>
      <c r="D107" s="54">
        <v>49.332800000000006</v>
      </c>
    </row>
    <row r="108" spans="1:4" x14ac:dyDescent="0.2">
      <c r="A108" s="99" t="s">
        <v>199</v>
      </c>
      <c r="B108" s="54">
        <v>11.196300000000001</v>
      </c>
      <c r="C108" s="54">
        <v>59.6</v>
      </c>
      <c r="D108" s="54">
        <v>48.403700000000001</v>
      </c>
    </row>
    <row r="109" spans="1:4" x14ac:dyDescent="0.2">
      <c r="A109" s="99" t="s">
        <v>200</v>
      </c>
      <c r="B109" s="54">
        <v>11.2494</v>
      </c>
      <c r="C109" s="54">
        <v>59.43</v>
      </c>
      <c r="D109" s="54">
        <v>48.180599999999998</v>
      </c>
    </row>
    <row r="110" spans="1:4" x14ac:dyDescent="0.2">
      <c r="A110" s="99" t="s">
        <v>212</v>
      </c>
      <c r="B110" s="54">
        <v>11.3322</v>
      </c>
      <c r="C110" s="54">
        <v>59.75</v>
      </c>
      <c r="D110" s="54">
        <v>48.4178</v>
      </c>
    </row>
    <row r="111" spans="1:4" x14ac:dyDescent="0.2">
      <c r="A111" s="99" t="s">
        <v>213</v>
      </c>
      <c r="B111" s="55">
        <v>11.3713</v>
      </c>
      <c r="C111" s="54">
        <v>60.13</v>
      </c>
      <c r="D111" s="55">
        <v>48.758700000000005</v>
      </c>
    </row>
    <row r="112" spans="1:4" x14ac:dyDescent="0.2">
      <c r="A112" s="99" t="s">
        <v>214</v>
      </c>
      <c r="B112" s="55">
        <v>11.3713</v>
      </c>
      <c r="C112" s="54">
        <v>61.04</v>
      </c>
      <c r="D112" s="55">
        <v>49.668700000000001</v>
      </c>
    </row>
    <row r="113" spans="1:4" x14ac:dyDescent="0.2">
      <c r="A113" s="99" t="s">
        <v>215</v>
      </c>
      <c r="B113" s="55">
        <v>11.3896</v>
      </c>
      <c r="C113" s="54">
        <v>58.49</v>
      </c>
      <c r="D113" s="55">
        <v>47.1004</v>
      </c>
    </row>
    <row r="114" spans="1:4" x14ac:dyDescent="0.2">
      <c r="A114" s="99" t="s">
        <v>216</v>
      </c>
      <c r="B114" s="55">
        <v>11.4078</v>
      </c>
      <c r="C114" s="54">
        <v>58.69</v>
      </c>
      <c r="D114" s="55">
        <v>47.282199999999996</v>
      </c>
    </row>
    <row r="115" spans="1:4" x14ac:dyDescent="0.2">
      <c r="A115" s="99" t="s">
        <v>203</v>
      </c>
      <c r="B115" s="55">
        <v>11.415100000000001</v>
      </c>
      <c r="C115" s="54">
        <v>60.09</v>
      </c>
      <c r="D115" s="55">
        <v>48.674900000000001</v>
      </c>
    </row>
    <row r="116" spans="1:4" x14ac:dyDescent="0.2">
      <c r="A116" s="99" t="s">
        <v>204</v>
      </c>
      <c r="B116" s="55">
        <v>11.415100000000001</v>
      </c>
      <c r="C116" s="54">
        <v>59.91</v>
      </c>
      <c r="D116" s="55">
        <v>48.494899999999994</v>
      </c>
    </row>
    <row r="117" spans="1:4" x14ac:dyDescent="0.2">
      <c r="A117" s="99" t="s">
        <v>205</v>
      </c>
      <c r="B117" s="55">
        <v>12.45</v>
      </c>
      <c r="C117" s="54">
        <v>60.74</v>
      </c>
      <c r="D117" s="55">
        <v>48.290000000000006</v>
      </c>
    </row>
    <row r="118" spans="1:4" x14ac:dyDescent="0.2">
      <c r="A118" s="99" t="s">
        <v>206</v>
      </c>
      <c r="B118" s="55">
        <v>12.35</v>
      </c>
      <c r="C118" s="54">
        <v>59.44</v>
      </c>
      <c r="D118" s="55">
        <v>47.089999999999996</v>
      </c>
    </row>
    <row r="119" spans="1:4" x14ac:dyDescent="0.2">
      <c r="A119" s="99" t="s">
        <v>207</v>
      </c>
      <c r="B119" s="55">
        <v>12.4</v>
      </c>
      <c r="C119" s="54">
        <v>59.14</v>
      </c>
      <c r="D119" s="55">
        <v>46.74</v>
      </c>
    </row>
    <row r="120" spans="1:4" x14ac:dyDescent="0.2">
      <c r="A120" s="99" t="s">
        <v>208</v>
      </c>
      <c r="B120" s="55">
        <v>12.4</v>
      </c>
      <c r="C120" s="54">
        <v>58.06</v>
      </c>
      <c r="D120" s="55">
        <v>45.660000000000004</v>
      </c>
    </row>
    <row r="121" spans="1:4" x14ac:dyDescent="0.2">
      <c r="A121" s="99" t="s">
        <v>209</v>
      </c>
      <c r="B121" s="55">
        <v>12.35</v>
      </c>
      <c r="C121" s="54">
        <v>58.84</v>
      </c>
      <c r="D121" s="55">
        <v>46.49</v>
      </c>
    </row>
    <row r="122" spans="1:4" x14ac:dyDescent="0.2">
      <c r="A122" s="99" t="s">
        <v>210</v>
      </c>
      <c r="B122" s="55">
        <v>12.35</v>
      </c>
      <c r="C122" s="54">
        <v>57.95</v>
      </c>
      <c r="D122" s="55">
        <v>45.6</v>
      </c>
    </row>
    <row r="123" spans="1:4" x14ac:dyDescent="0.2">
      <c r="A123" s="99" t="s">
        <v>211</v>
      </c>
      <c r="B123" s="55">
        <v>12.4</v>
      </c>
      <c r="C123" s="54">
        <v>58.65</v>
      </c>
      <c r="D123" s="55">
        <v>46.25</v>
      </c>
    </row>
    <row r="124" spans="1:4" x14ac:dyDescent="0.2">
      <c r="A124" s="100" t="s">
        <v>219</v>
      </c>
      <c r="B124" s="55">
        <v>12.4</v>
      </c>
      <c r="C124" s="54">
        <v>58.599999999999994</v>
      </c>
      <c r="D124" s="55">
        <v>46.199999999999996</v>
      </c>
    </row>
    <row r="125" spans="1:4" x14ac:dyDescent="0.2">
      <c r="A125" s="99" t="s">
        <v>217</v>
      </c>
      <c r="B125" s="55">
        <v>12.4</v>
      </c>
      <c r="C125" s="54">
        <v>58.55</v>
      </c>
      <c r="D125" s="55">
        <v>46.15</v>
      </c>
    </row>
    <row r="126" spans="1:4" x14ac:dyDescent="0.2">
      <c r="A126" s="99" t="s">
        <v>218</v>
      </c>
      <c r="B126" s="55">
        <v>12.715</v>
      </c>
      <c r="C126" s="54">
        <v>59.32</v>
      </c>
      <c r="D126" s="55">
        <v>46.605000000000004</v>
      </c>
    </row>
    <row r="127" spans="1:4" x14ac:dyDescent="0.2">
      <c r="A127" s="99" t="s">
        <v>220</v>
      </c>
      <c r="B127" s="55">
        <v>12.842700000000001</v>
      </c>
      <c r="C127" s="54">
        <v>58.64</v>
      </c>
      <c r="D127" s="55">
        <v>45.7973</v>
      </c>
    </row>
    <row r="128" spans="1:4" x14ac:dyDescent="0.2">
      <c r="A128" s="99" t="s">
        <v>221</v>
      </c>
      <c r="B128" s="55">
        <v>12.8786</v>
      </c>
      <c r="C128" s="54">
        <v>58.95</v>
      </c>
      <c r="D128" s="55">
        <v>46.071400000000004</v>
      </c>
    </row>
    <row r="129" spans="1:4" x14ac:dyDescent="0.2">
      <c r="A129" s="100" t="s">
        <v>222</v>
      </c>
      <c r="B129" s="55">
        <v>12.879099999999999</v>
      </c>
      <c r="C129" s="54">
        <v>59.67</v>
      </c>
      <c r="D129" s="55">
        <v>46.790900000000001</v>
      </c>
    </row>
    <row r="130" spans="1:4" x14ac:dyDescent="0.2">
      <c r="A130" s="101" t="s">
        <v>223</v>
      </c>
      <c r="B130" s="55">
        <v>12.885199999999999</v>
      </c>
      <c r="C130" s="54">
        <v>60.08</v>
      </c>
      <c r="D130" s="55">
        <v>47.194800000000001</v>
      </c>
    </row>
    <row r="131" spans="1:4" x14ac:dyDescent="0.2">
      <c r="A131" s="102" t="s">
        <v>224</v>
      </c>
      <c r="B131" s="55">
        <v>12.916</v>
      </c>
      <c r="C131" s="54">
        <v>58.88</v>
      </c>
      <c r="D131" s="55">
        <v>45.963999999999999</v>
      </c>
    </row>
    <row r="132" spans="1:4" x14ac:dyDescent="0.2">
      <c r="A132" s="101" t="s">
        <v>225</v>
      </c>
      <c r="B132" s="55">
        <v>12.966900000000001</v>
      </c>
      <c r="C132" s="54">
        <v>58.25</v>
      </c>
      <c r="D132" s="55">
        <v>45.283099999999997</v>
      </c>
    </row>
    <row r="133" spans="1:4" x14ac:dyDescent="0.2">
      <c r="A133" s="101" t="s">
        <v>226</v>
      </c>
      <c r="B133" s="55">
        <v>12.9992</v>
      </c>
      <c r="C133" s="54">
        <v>58.46</v>
      </c>
      <c r="D133" s="55">
        <v>45.460799999999999</v>
      </c>
    </row>
    <row r="134" spans="1:4" x14ac:dyDescent="0.2">
      <c r="A134" s="101" t="s">
        <v>227</v>
      </c>
      <c r="B134" s="55">
        <v>13.049899999999999</v>
      </c>
      <c r="C134" s="54">
        <v>57.6</v>
      </c>
      <c r="D134" s="55">
        <v>44.5501</v>
      </c>
    </row>
    <row r="135" spans="1:4" x14ac:dyDescent="0.2">
      <c r="A135" s="101" t="s">
        <v>228</v>
      </c>
      <c r="B135" s="55">
        <v>13.0411</v>
      </c>
      <c r="C135" s="54">
        <v>57.44</v>
      </c>
      <c r="D135" s="55">
        <v>44.398899999999998</v>
      </c>
    </row>
    <row r="136" spans="1:4" x14ac:dyDescent="0.2">
      <c r="A136" s="99" t="s">
        <v>229</v>
      </c>
      <c r="B136" s="55">
        <v>13.038500000000001</v>
      </c>
      <c r="C136" s="54">
        <v>56.82</v>
      </c>
      <c r="D136" s="55">
        <v>43.781500000000001</v>
      </c>
    </row>
    <row r="137" spans="1:4" x14ac:dyDescent="0.2">
      <c r="A137" s="99" t="s">
        <v>230</v>
      </c>
      <c r="B137" s="55">
        <v>13.038500000000001</v>
      </c>
      <c r="C137" s="54">
        <v>55.27</v>
      </c>
      <c r="D137" s="55">
        <v>42.231500000000004</v>
      </c>
    </row>
    <row r="138" spans="1:4" x14ac:dyDescent="0.2">
      <c r="A138" s="100" t="s">
        <v>231</v>
      </c>
      <c r="B138" s="55">
        <v>13.05</v>
      </c>
      <c r="C138" s="54">
        <v>55.94</v>
      </c>
      <c r="D138" s="55">
        <v>42.89</v>
      </c>
    </row>
    <row r="139" spans="1:4" x14ac:dyDescent="0.2">
      <c r="A139" s="99" t="s">
        <v>232</v>
      </c>
      <c r="B139" s="55">
        <v>13</v>
      </c>
      <c r="C139" s="54">
        <v>56.15</v>
      </c>
      <c r="D139" s="55">
        <v>43.15</v>
      </c>
    </row>
    <row r="140" spans="1:4" x14ac:dyDescent="0.2">
      <c r="A140" s="99" t="s">
        <v>233</v>
      </c>
      <c r="B140" s="55">
        <v>13.1</v>
      </c>
      <c r="C140" s="54">
        <v>56.66</v>
      </c>
      <c r="D140" s="55">
        <v>43.559999999999995</v>
      </c>
    </row>
    <row r="141" spans="1:4" x14ac:dyDescent="0.2">
      <c r="A141" s="99" t="s">
        <v>234</v>
      </c>
      <c r="B141" s="55">
        <v>13.15</v>
      </c>
      <c r="C141" s="54">
        <v>58.01</v>
      </c>
      <c r="D141" s="55">
        <v>44.86</v>
      </c>
    </row>
    <row r="142" spans="1:4" x14ac:dyDescent="0.2">
      <c r="A142" s="99" t="s">
        <v>235</v>
      </c>
      <c r="B142" s="55">
        <v>13.15</v>
      </c>
      <c r="C142" s="54">
        <v>58.38</v>
      </c>
      <c r="D142" s="55">
        <v>45.230000000000004</v>
      </c>
    </row>
    <row r="143" spans="1:4" x14ac:dyDescent="0.2">
      <c r="A143" s="100" t="s">
        <v>236</v>
      </c>
      <c r="B143" s="55">
        <v>13.15</v>
      </c>
      <c r="C143" s="54">
        <v>58.35</v>
      </c>
      <c r="D143" s="55">
        <v>45.2</v>
      </c>
    </row>
    <row r="144" spans="1:4" x14ac:dyDescent="0.2">
      <c r="A144" s="101" t="s">
        <v>237</v>
      </c>
      <c r="B144" s="55">
        <v>13.15</v>
      </c>
      <c r="C144" s="54">
        <v>57.545000000000002</v>
      </c>
      <c r="D144" s="55">
        <v>44.395000000000003</v>
      </c>
    </row>
    <row r="145" spans="1:4" x14ac:dyDescent="0.2">
      <c r="A145" s="102" t="s">
        <v>238</v>
      </c>
      <c r="B145" s="55">
        <v>13.15</v>
      </c>
      <c r="C145" s="54">
        <v>56.74</v>
      </c>
      <c r="D145" s="55">
        <v>43.59</v>
      </c>
    </row>
    <row r="146" spans="1:4" x14ac:dyDescent="0.2">
      <c r="A146" s="99" t="s">
        <v>239</v>
      </c>
      <c r="B146" s="55">
        <v>13.2</v>
      </c>
      <c r="C146" s="54">
        <v>58.08</v>
      </c>
      <c r="D146" s="55">
        <v>44.879999999999995</v>
      </c>
    </row>
    <row r="147" spans="1:4" x14ac:dyDescent="0.2">
      <c r="A147" s="99" t="s">
        <v>240</v>
      </c>
      <c r="B147" s="55">
        <v>13.25</v>
      </c>
      <c r="C147" s="54">
        <v>57.95</v>
      </c>
      <c r="D147" s="55">
        <v>44.7</v>
      </c>
    </row>
    <row r="148" spans="1:4" x14ac:dyDescent="0.2">
      <c r="A148" s="99" t="s">
        <v>241</v>
      </c>
      <c r="B148" s="55">
        <v>13.4</v>
      </c>
      <c r="C148" s="54">
        <v>57.42</v>
      </c>
      <c r="D148" s="55">
        <v>44.02</v>
      </c>
    </row>
    <row r="149" spans="1:4" x14ac:dyDescent="0.2">
      <c r="A149" s="99" t="s">
        <v>242</v>
      </c>
      <c r="B149" s="55">
        <v>13.4</v>
      </c>
      <c r="C149" s="54">
        <v>57.370000000000005</v>
      </c>
      <c r="D149" s="55">
        <v>43.970000000000006</v>
      </c>
    </row>
    <row r="150" spans="1:4" x14ac:dyDescent="0.2">
      <c r="A150" s="99" t="s">
        <v>243</v>
      </c>
      <c r="B150" s="55">
        <v>13.029299999999999</v>
      </c>
      <c r="C150" s="54">
        <v>57.32</v>
      </c>
      <c r="D150" s="55">
        <v>44.290700000000001</v>
      </c>
    </row>
    <row r="151" spans="1:4" x14ac:dyDescent="0.2">
      <c r="A151" s="99" t="s">
        <v>244</v>
      </c>
      <c r="B151" s="55">
        <v>13.138400000000001</v>
      </c>
      <c r="C151" s="54">
        <v>58.32</v>
      </c>
      <c r="D151" s="55">
        <v>45.181600000000003</v>
      </c>
    </row>
    <row r="152" spans="1:4" x14ac:dyDescent="0.2">
      <c r="A152" s="101" t="s">
        <v>245</v>
      </c>
      <c r="B152" s="55">
        <v>13.282999999999999</v>
      </c>
      <c r="C152" s="54">
        <v>57.13</v>
      </c>
      <c r="D152" s="55">
        <v>43.847000000000001</v>
      </c>
    </row>
    <row r="153" spans="1:4" x14ac:dyDescent="0.2">
      <c r="A153" s="101" t="s">
        <v>246</v>
      </c>
      <c r="B153" s="55">
        <v>13.591699999999999</v>
      </c>
      <c r="C153" s="54">
        <v>55.99</v>
      </c>
      <c r="D153" s="55">
        <v>42.398300000000006</v>
      </c>
    </row>
    <row r="154" spans="1:4" x14ac:dyDescent="0.2">
      <c r="A154" s="101" t="s">
        <v>247</v>
      </c>
      <c r="B154" s="55">
        <v>13.9109</v>
      </c>
      <c r="C154" s="54">
        <v>57.76</v>
      </c>
      <c r="D154" s="55">
        <v>43.8491</v>
      </c>
    </row>
    <row r="155" spans="1:4" x14ac:dyDescent="0.2">
      <c r="A155" s="101" t="s">
        <v>248</v>
      </c>
      <c r="B155" s="55">
        <v>14.0273</v>
      </c>
      <c r="C155" s="54">
        <v>59.12</v>
      </c>
      <c r="D155" s="55">
        <v>45.092699999999994</v>
      </c>
    </row>
    <row r="156" spans="1:4" x14ac:dyDescent="0.2">
      <c r="A156" s="99" t="s">
        <v>249</v>
      </c>
      <c r="B156" s="55">
        <v>14.1532</v>
      </c>
      <c r="C156" s="54">
        <v>59.5</v>
      </c>
      <c r="D156" s="55">
        <v>45.346800000000002</v>
      </c>
    </row>
    <row r="157" spans="1:4" x14ac:dyDescent="0.2">
      <c r="A157" s="99" t="s">
        <v>250</v>
      </c>
      <c r="B157" s="55">
        <v>14.183400000000001</v>
      </c>
      <c r="C157" s="54">
        <v>61.15</v>
      </c>
      <c r="D157" s="55">
        <v>46.9666</v>
      </c>
    </row>
    <row r="158" spans="1:4" x14ac:dyDescent="0.2">
      <c r="A158" s="99" t="s">
        <v>251</v>
      </c>
      <c r="B158" s="55">
        <v>14.194100000000001</v>
      </c>
      <c r="C158" s="54">
        <v>62.02</v>
      </c>
      <c r="D158" s="55">
        <v>47.825900000000004</v>
      </c>
    </row>
    <row r="159" spans="1:4" x14ac:dyDescent="0.2">
      <c r="A159" s="99" t="s">
        <v>252</v>
      </c>
      <c r="B159" s="55">
        <v>14.192399999999999</v>
      </c>
      <c r="C159" s="54">
        <v>59.19</v>
      </c>
      <c r="D159" s="55">
        <v>44.997599999999998</v>
      </c>
    </row>
    <row r="160" spans="1:4" x14ac:dyDescent="0.2">
      <c r="A160" s="99" t="s">
        <v>285</v>
      </c>
      <c r="B160" s="55">
        <v>14.192399999999999</v>
      </c>
      <c r="C160" s="54">
        <v>59.44</v>
      </c>
      <c r="D160" s="55">
        <v>45.247599999999998</v>
      </c>
    </row>
    <row r="161" spans="1:4" x14ac:dyDescent="0.2">
      <c r="A161" s="99">
        <v>46042</v>
      </c>
      <c r="B161" s="55">
        <v>14.75</v>
      </c>
      <c r="C161" s="54">
        <v>60.34</v>
      </c>
      <c r="D161" s="55">
        <v>45.59</v>
      </c>
    </row>
    <row r="162" spans="1:4" x14ac:dyDescent="0.2">
      <c r="A162" s="99">
        <v>46043</v>
      </c>
      <c r="B162" s="55">
        <v>14.9</v>
      </c>
      <c r="C162" s="54">
        <v>60.62</v>
      </c>
      <c r="D162" s="55">
        <v>45.72</v>
      </c>
    </row>
    <row r="163" spans="1:4" x14ac:dyDescent="0.2">
      <c r="A163" s="99">
        <v>46044</v>
      </c>
      <c r="B163" s="55">
        <v>15.2</v>
      </c>
      <c r="C163" s="54">
        <v>59.36</v>
      </c>
      <c r="D163" s="55">
        <v>44.16</v>
      </c>
    </row>
    <row r="164" spans="1:4" x14ac:dyDescent="0.2">
      <c r="A164" s="99">
        <v>46045</v>
      </c>
      <c r="B164" s="55">
        <v>15.25</v>
      </c>
      <c r="C164" s="54">
        <v>61.07</v>
      </c>
      <c r="D164" s="55">
        <v>45.82</v>
      </c>
    </row>
    <row r="165" spans="1:4" x14ac:dyDescent="0.2">
      <c r="A165" s="99">
        <v>46048</v>
      </c>
      <c r="B165" s="55">
        <v>15.6</v>
      </c>
      <c r="C165" s="54">
        <v>60.63</v>
      </c>
      <c r="D165" s="55">
        <v>45.03</v>
      </c>
    </row>
    <row r="166" spans="1:4" x14ac:dyDescent="0.2">
      <c r="A166" s="99">
        <v>46049</v>
      </c>
      <c r="B166" s="55">
        <v>14.9</v>
      </c>
      <c r="C166" s="54">
        <v>62.39</v>
      </c>
      <c r="D166" s="55">
        <v>47.49</v>
      </c>
    </row>
    <row r="167" spans="1:4" x14ac:dyDescent="0.2">
      <c r="A167" s="99">
        <v>46050</v>
      </c>
      <c r="B167" s="55">
        <v>14.25</v>
      </c>
      <c r="C167" s="54">
        <v>63.21</v>
      </c>
      <c r="D167" s="55">
        <v>48.96</v>
      </c>
    </row>
    <row r="168" spans="1:4" x14ac:dyDescent="0.2">
      <c r="A168" s="99">
        <v>46051</v>
      </c>
      <c r="B168" s="55">
        <v>14.25</v>
      </c>
      <c r="C168" s="54">
        <v>65.42</v>
      </c>
      <c r="D168" s="55">
        <v>51.17</v>
      </c>
    </row>
    <row r="169" spans="1:4" x14ac:dyDescent="0.2">
      <c r="A169" s="99">
        <v>46052</v>
      </c>
      <c r="B169" s="55">
        <v>14.25</v>
      </c>
      <c r="C169" s="54">
        <v>65.209999999999994</v>
      </c>
      <c r="D169" s="55">
        <v>50.959999999999994</v>
      </c>
    </row>
    <row r="170" spans="1:4" x14ac:dyDescent="0.2">
      <c r="A170" s="99">
        <v>46055</v>
      </c>
      <c r="B170" s="55">
        <v>14.524100000000001</v>
      </c>
      <c r="C170" s="54">
        <v>62.14</v>
      </c>
      <c r="D170" s="55">
        <v>47.615899999999996</v>
      </c>
    </row>
    <row r="171" spans="1:4" x14ac:dyDescent="0.2">
      <c r="A171" s="99">
        <v>46056</v>
      </c>
      <c r="B171" s="55">
        <v>14.582100000000001</v>
      </c>
      <c r="C171" s="54">
        <v>63.21</v>
      </c>
      <c r="D171" s="55">
        <v>48.627899999999997</v>
      </c>
    </row>
    <row r="172" spans="1:4" x14ac:dyDescent="0.2">
      <c r="A172" s="99">
        <v>46057</v>
      </c>
      <c r="B172" s="56">
        <v>14.715</v>
      </c>
      <c r="C172" s="54">
        <v>65.14</v>
      </c>
      <c r="D172" s="54">
        <v>50.424999999999997</v>
      </c>
    </row>
    <row r="173" spans="1:4" x14ac:dyDescent="0.2">
      <c r="A173" s="99">
        <v>46058</v>
      </c>
      <c r="B173" s="56">
        <v>14.813700000000001</v>
      </c>
      <c r="C173" s="54">
        <v>63.29</v>
      </c>
      <c r="D173" s="54">
        <v>48.476299999999995</v>
      </c>
    </row>
    <row r="174" spans="1:4" x14ac:dyDescent="0.2">
      <c r="A174" s="103">
        <v>46059</v>
      </c>
      <c r="B174" s="56">
        <v>14.9312</v>
      </c>
      <c r="C174" s="54">
        <v>63.55</v>
      </c>
      <c r="D174" s="54">
        <v>48.618799999999993</v>
      </c>
    </row>
    <row r="175" spans="1:4" x14ac:dyDescent="0.2">
      <c r="A175" s="103">
        <v>46062</v>
      </c>
      <c r="B175" s="56">
        <v>15.001200000000001</v>
      </c>
      <c r="C175" s="54">
        <v>64.36</v>
      </c>
      <c r="D175" s="54">
        <v>49.358800000000002</v>
      </c>
    </row>
    <row r="176" spans="1:4" x14ac:dyDescent="0.2">
      <c r="A176" s="103">
        <v>46063</v>
      </c>
      <c r="B176" s="56">
        <v>15.0526</v>
      </c>
      <c r="C176" s="54">
        <v>63.96</v>
      </c>
      <c r="D176" s="54">
        <v>48.907400000000003</v>
      </c>
    </row>
    <row r="177" spans="1:5" x14ac:dyDescent="0.2">
      <c r="A177" s="103">
        <v>46064</v>
      </c>
      <c r="B177" s="56">
        <v>15.1195</v>
      </c>
      <c r="C177" s="54">
        <v>64.63</v>
      </c>
      <c r="D177" s="54">
        <v>49.510499999999993</v>
      </c>
    </row>
    <row r="178" spans="1:5" x14ac:dyDescent="0.2">
      <c r="A178" s="103">
        <v>46065</v>
      </c>
      <c r="B178" s="56">
        <v>15.1454</v>
      </c>
      <c r="C178" s="54">
        <v>62.84</v>
      </c>
      <c r="D178" s="54">
        <v>47.694600000000001</v>
      </c>
    </row>
    <row r="179" spans="1:5" x14ac:dyDescent="0.2">
      <c r="A179" s="103" t="s">
        <v>254</v>
      </c>
      <c r="B179" s="56">
        <v>15.1454</v>
      </c>
      <c r="C179" s="54">
        <v>62.89</v>
      </c>
      <c r="D179" s="54">
        <v>47.744599999999998</v>
      </c>
    </row>
    <row r="180" spans="1:5" x14ac:dyDescent="0.2">
      <c r="A180" s="103" t="s">
        <v>255</v>
      </c>
      <c r="B180" s="56">
        <v>15.5</v>
      </c>
      <c r="C180" s="54">
        <v>62.33</v>
      </c>
      <c r="D180" s="54">
        <v>46.83</v>
      </c>
    </row>
    <row r="181" spans="1:5" x14ac:dyDescent="0.2">
      <c r="A181" s="103" t="s">
        <v>256</v>
      </c>
      <c r="B181" s="56">
        <v>15.15</v>
      </c>
      <c r="C181" s="54">
        <v>65.19</v>
      </c>
      <c r="D181" s="54">
        <v>50.04</v>
      </c>
      <c r="E181" s="43"/>
    </row>
    <row r="182" spans="1:5" x14ac:dyDescent="0.2">
      <c r="A182" s="103" t="s">
        <v>257</v>
      </c>
      <c r="B182" s="56">
        <v>14.95</v>
      </c>
      <c r="C182" s="54">
        <v>66.430000000000007</v>
      </c>
      <c r="D182" s="54">
        <v>51.480000000000004</v>
      </c>
    </row>
    <row r="183" spans="1:5" x14ac:dyDescent="0.2">
      <c r="A183" s="104" t="s">
        <v>258</v>
      </c>
      <c r="B183" s="56">
        <v>14.65</v>
      </c>
      <c r="C183" s="54">
        <v>66.39</v>
      </c>
      <c r="D183" s="54">
        <v>51.74</v>
      </c>
    </row>
    <row r="184" spans="1:5" x14ac:dyDescent="0.2">
      <c r="A184" s="104" t="s">
        <v>259</v>
      </c>
      <c r="B184" s="56">
        <v>14.45</v>
      </c>
      <c r="C184" s="54">
        <v>66.31</v>
      </c>
      <c r="D184" s="54">
        <v>51.86</v>
      </c>
    </row>
    <row r="185" spans="1:5" x14ac:dyDescent="0.2">
      <c r="A185" s="104" t="s">
        <v>260</v>
      </c>
      <c r="B185" s="56">
        <v>14.4</v>
      </c>
      <c r="C185" s="54">
        <v>65.63</v>
      </c>
      <c r="D185" s="54">
        <v>51.23</v>
      </c>
    </row>
    <row r="186" spans="1:5" x14ac:dyDescent="0.2">
      <c r="A186" s="104" t="s">
        <v>261</v>
      </c>
      <c r="B186" s="56">
        <v>14.15</v>
      </c>
      <c r="C186" s="54">
        <v>65.42</v>
      </c>
      <c r="D186" s="54">
        <v>51.27</v>
      </c>
    </row>
    <row r="187" spans="1:5" x14ac:dyDescent="0.2">
      <c r="A187" s="104" t="s">
        <v>262</v>
      </c>
      <c r="B187" s="56">
        <v>14</v>
      </c>
      <c r="C187" s="54">
        <v>65.209999999999994</v>
      </c>
      <c r="D187" s="54">
        <v>51.209999999999994</v>
      </c>
    </row>
    <row r="188" spans="1:5" x14ac:dyDescent="0.2">
      <c r="A188" s="105">
        <v>46080</v>
      </c>
      <c r="B188" s="56">
        <v>13.65</v>
      </c>
      <c r="C188" s="54">
        <v>67.02</v>
      </c>
      <c r="D188" s="54">
        <v>53.37</v>
      </c>
    </row>
    <row r="189" spans="1:5" x14ac:dyDescent="0.2">
      <c r="A189" s="105">
        <v>46083</v>
      </c>
      <c r="B189" s="56">
        <v>12.773899999999999</v>
      </c>
      <c r="C189" s="54">
        <v>71.23</v>
      </c>
      <c r="D189" s="54">
        <v>58.456100000000006</v>
      </c>
    </row>
    <row r="190" spans="1:5" x14ac:dyDescent="0.2">
      <c r="A190" s="105">
        <v>46084</v>
      </c>
      <c r="B190" s="56">
        <v>12.4101</v>
      </c>
      <c r="C190" s="54">
        <v>74.56</v>
      </c>
      <c r="D190" s="54">
        <v>62.149900000000002</v>
      </c>
    </row>
    <row r="191" spans="1:5" x14ac:dyDescent="0.2">
      <c r="A191" s="105">
        <v>46085</v>
      </c>
      <c r="B191" s="56">
        <v>12.4672</v>
      </c>
      <c r="C191" s="54">
        <v>74.66</v>
      </c>
      <c r="D191" s="54">
        <v>62.192799999999998</v>
      </c>
    </row>
    <row r="192" spans="1:5" x14ac:dyDescent="0.2">
      <c r="A192" s="105">
        <v>46086</v>
      </c>
      <c r="B192" s="56">
        <v>12.342700000000001</v>
      </c>
      <c r="C192" s="54">
        <v>81.010000000000005</v>
      </c>
      <c r="D192" s="54">
        <v>68.667300000000012</v>
      </c>
    </row>
    <row r="193" spans="1:4" x14ac:dyDescent="0.2">
      <c r="A193" s="105">
        <v>46087</v>
      </c>
      <c r="B193" s="56">
        <v>12.3246</v>
      </c>
      <c r="C193" s="54">
        <v>90.9</v>
      </c>
      <c r="D193" s="54">
        <v>78.575400000000002</v>
      </c>
    </row>
    <row r="194" spans="1:4" x14ac:dyDescent="0.2">
      <c r="A194" s="105">
        <v>46090</v>
      </c>
      <c r="B194" s="56">
        <v>12.3607</v>
      </c>
      <c r="C194" s="54">
        <v>94.77</v>
      </c>
      <c r="D194" s="54">
        <v>82.409300000000002</v>
      </c>
    </row>
    <row r="195" spans="1:4" x14ac:dyDescent="0.2">
      <c r="A195" s="105">
        <v>46091</v>
      </c>
      <c r="B195" s="56">
        <v>12.4352</v>
      </c>
      <c r="C195" s="54">
        <v>83.45</v>
      </c>
      <c r="D195" s="54">
        <v>71.014800000000008</v>
      </c>
    </row>
    <row r="196" spans="1:4" x14ac:dyDescent="0.2">
      <c r="A196" s="105">
        <v>46092</v>
      </c>
      <c r="B196" s="56">
        <v>12.463900000000001</v>
      </c>
      <c r="C196" s="54">
        <v>87.25</v>
      </c>
      <c r="D196" s="54">
        <v>74.786100000000005</v>
      </c>
    </row>
    <row r="197" spans="1:4" x14ac:dyDescent="0.2">
      <c r="A197" s="105">
        <v>46093</v>
      </c>
      <c r="B197" s="56">
        <v>12.5204</v>
      </c>
      <c r="C197" s="54">
        <v>95.73</v>
      </c>
      <c r="D197" s="54">
        <v>83.209600000000009</v>
      </c>
    </row>
    <row r="198" spans="1:4" x14ac:dyDescent="0.2">
      <c r="A198" s="103">
        <v>46094</v>
      </c>
      <c r="B198" s="56">
        <v>12.5505</v>
      </c>
      <c r="C198" s="54">
        <v>98.71</v>
      </c>
      <c r="D198" s="54">
        <v>86.159499999999994</v>
      </c>
    </row>
    <row r="199" spans="1:4" x14ac:dyDescent="0.2">
      <c r="A199" s="103">
        <v>46097</v>
      </c>
      <c r="B199" s="56">
        <v>12.577999999999999</v>
      </c>
      <c r="C199" s="54">
        <v>93.5</v>
      </c>
      <c r="D199" s="54">
        <v>80.921999999999997</v>
      </c>
    </row>
    <row r="200" spans="1:4" x14ac:dyDescent="0.2">
      <c r="A200" s="103">
        <v>46098</v>
      </c>
      <c r="B200" s="56">
        <v>12.577999999999999</v>
      </c>
      <c r="C200" s="56">
        <v>96.21</v>
      </c>
      <c r="D200" s="56">
        <v>83.631999999999991</v>
      </c>
    </row>
    <row r="201" spans="1:4" x14ac:dyDescent="0.2">
      <c r="A201" s="103">
        <v>46099</v>
      </c>
      <c r="B201" s="56">
        <v>11.95</v>
      </c>
      <c r="C201" s="56">
        <v>96.32</v>
      </c>
      <c r="D201" s="93">
        <v>84.36999999999999</v>
      </c>
    </row>
    <row r="202" spans="1:4" x14ac:dyDescent="0.2">
      <c r="A202" s="103">
        <v>46100</v>
      </c>
      <c r="B202" s="56">
        <v>11.6</v>
      </c>
      <c r="C202" s="56">
        <v>96.14</v>
      </c>
      <c r="D202" s="93">
        <v>84.54</v>
      </c>
    </row>
    <row r="203" spans="1:4" x14ac:dyDescent="0.2">
      <c r="A203" s="103">
        <v>46101</v>
      </c>
      <c r="B203" s="56">
        <v>11.45</v>
      </c>
      <c r="C203" s="54">
        <v>98.32</v>
      </c>
      <c r="D203" s="54">
        <v>86.86999999999999</v>
      </c>
    </row>
    <row r="204" spans="1:4" x14ac:dyDescent="0.2">
      <c r="A204" s="103">
        <v>46104</v>
      </c>
      <c r="B204" s="56">
        <v>11.45</v>
      </c>
      <c r="C204" s="54">
        <v>88.13</v>
      </c>
      <c r="D204" s="54">
        <v>76.679999999999993</v>
      </c>
    </row>
    <row r="205" spans="1:4" x14ac:dyDescent="0.2">
      <c r="A205" s="103">
        <v>46105</v>
      </c>
      <c r="B205" s="56">
        <v>12.5</v>
      </c>
      <c r="C205" s="54">
        <v>92.35</v>
      </c>
      <c r="D205" s="54">
        <v>79.849999999999994</v>
      </c>
    </row>
    <row r="206" spans="1:4" x14ac:dyDescent="0.2">
      <c r="A206" s="103">
        <v>46106</v>
      </c>
      <c r="B206" s="56">
        <v>12.55</v>
      </c>
      <c r="C206" s="54">
        <v>90.32</v>
      </c>
      <c r="D206" s="54">
        <v>77.77</v>
      </c>
    </row>
    <row r="207" spans="1:4" x14ac:dyDescent="0.2">
      <c r="A207" s="103">
        <v>46107</v>
      </c>
      <c r="B207" s="56">
        <v>11.5</v>
      </c>
      <c r="C207" s="54">
        <v>94.48</v>
      </c>
      <c r="D207" s="54">
        <v>82.98</v>
      </c>
    </row>
    <row r="208" spans="1:4" x14ac:dyDescent="0.2">
      <c r="A208" s="103">
        <v>46108</v>
      </c>
      <c r="B208" s="56">
        <v>11.1</v>
      </c>
      <c r="C208" s="54">
        <v>99.64</v>
      </c>
      <c r="D208" s="54">
        <v>88.54</v>
      </c>
    </row>
    <row r="209" spans="1:4" x14ac:dyDescent="0.2">
      <c r="A209" s="103">
        <v>46111</v>
      </c>
      <c r="B209" s="56">
        <v>10.7</v>
      </c>
      <c r="C209" s="54">
        <v>102.88</v>
      </c>
      <c r="D209" s="54">
        <v>92.179999999999993</v>
      </c>
    </row>
    <row r="210" spans="1:4" x14ac:dyDescent="0.2">
      <c r="A210" s="103">
        <v>46112</v>
      </c>
      <c r="B210" s="56">
        <v>10.8</v>
      </c>
      <c r="C210" s="54">
        <v>101.38</v>
      </c>
      <c r="D210" s="54">
        <v>90.58</v>
      </c>
    </row>
    <row r="211" spans="1:4" x14ac:dyDescent="0.2">
      <c r="A211" s="103">
        <v>46113</v>
      </c>
      <c r="B211" s="56">
        <v>12.7667</v>
      </c>
      <c r="C211" s="54">
        <v>100.12</v>
      </c>
      <c r="D211" s="54">
        <v>87.353300000000004</v>
      </c>
    </row>
    <row r="212" spans="1:4" x14ac:dyDescent="0.2">
      <c r="A212" s="103">
        <v>46114</v>
      </c>
      <c r="B212" s="56">
        <v>13.691700000000001</v>
      </c>
      <c r="C212" s="54">
        <v>111.54</v>
      </c>
      <c r="D212" s="54">
        <v>97.848300000000009</v>
      </c>
    </row>
    <row r="213" spans="1:4" x14ac:dyDescent="0.2">
      <c r="A213" s="103">
        <v>46118</v>
      </c>
      <c r="B213" s="56">
        <v>14.620799999999999</v>
      </c>
      <c r="C213" s="54">
        <v>112.41</v>
      </c>
      <c r="D213" s="54">
        <v>97.789199999999994</v>
      </c>
    </row>
    <row r="214" spans="1:4" x14ac:dyDescent="0.2">
      <c r="A214" s="103">
        <v>46119</v>
      </c>
      <c r="B214" s="56">
        <v>15.123200000000001</v>
      </c>
      <c r="C214" s="54">
        <v>112.95</v>
      </c>
      <c r="D214" s="54">
        <v>97.826800000000006</v>
      </c>
    </row>
    <row r="215" spans="1:4" x14ac:dyDescent="0.2">
      <c r="A215" s="103">
        <v>46120</v>
      </c>
      <c r="B215" s="56">
        <v>14.894399999999999</v>
      </c>
      <c r="C215" s="54">
        <v>94.41</v>
      </c>
      <c r="D215" s="54">
        <v>79.515599999999992</v>
      </c>
    </row>
    <row r="216" spans="1:4" x14ac:dyDescent="0.2">
      <c r="A216" s="103">
        <v>46121</v>
      </c>
      <c r="B216" s="56">
        <v>14.985099999999999</v>
      </c>
      <c r="C216" s="54">
        <v>97.87</v>
      </c>
      <c r="D216" s="54">
        <v>82.884900000000002</v>
      </c>
    </row>
    <row r="217" spans="1:4" x14ac:dyDescent="0.2">
      <c r="A217" s="103">
        <v>46122</v>
      </c>
      <c r="B217" s="56">
        <v>15.07</v>
      </c>
      <c r="C217" s="54">
        <v>96.57</v>
      </c>
      <c r="D217" s="54">
        <v>81.5</v>
      </c>
    </row>
    <row r="218" spans="1:4" x14ac:dyDescent="0.2">
      <c r="A218" s="103">
        <v>46125</v>
      </c>
      <c r="B218" s="56">
        <v>15.1815</v>
      </c>
      <c r="C218" s="54">
        <v>99.08</v>
      </c>
      <c r="D218" s="54">
        <v>83.898499999999999</v>
      </c>
    </row>
    <row r="219" spans="1:4" x14ac:dyDescent="0.2">
      <c r="A219" s="103">
        <v>46126</v>
      </c>
      <c r="B219" s="56">
        <v>15.2643</v>
      </c>
      <c r="C219" s="54">
        <v>91.28</v>
      </c>
      <c r="D219" s="54">
        <v>76.015699999999995</v>
      </c>
    </row>
    <row r="220" spans="1:4" x14ac:dyDescent="0.2">
      <c r="A220" s="103">
        <v>46127</v>
      </c>
      <c r="B220" s="56">
        <v>15.3447</v>
      </c>
      <c r="C220" s="54">
        <v>91.29</v>
      </c>
      <c r="D220" s="54">
        <v>75.945300000000003</v>
      </c>
    </row>
    <row r="221" spans="1:4" x14ac:dyDescent="0.2">
      <c r="A221" s="103">
        <v>46128</v>
      </c>
      <c r="B221" s="56">
        <v>15.370699999999999</v>
      </c>
      <c r="C221" s="54">
        <v>94.69</v>
      </c>
      <c r="D221" s="54">
        <v>79.319299999999998</v>
      </c>
    </row>
    <row r="222" spans="1:4" x14ac:dyDescent="0.2">
      <c r="A222" s="103">
        <v>46129</v>
      </c>
      <c r="B222" s="56">
        <v>15.37</v>
      </c>
      <c r="C222" s="54">
        <v>83.85</v>
      </c>
      <c r="D222" s="54">
        <v>68.47999999999999</v>
      </c>
    </row>
    <row r="223" spans="1:4" x14ac:dyDescent="0.2">
      <c r="A223" s="103">
        <v>46132</v>
      </c>
      <c r="B223" s="56">
        <v>14.35</v>
      </c>
      <c r="C223" s="54">
        <v>89.61</v>
      </c>
      <c r="D223" s="54">
        <v>75.260000000000005</v>
      </c>
    </row>
    <row r="224" spans="1:4" x14ac:dyDescent="0.2">
      <c r="A224" s="103">
        <v>46133</v>
      </c>
      <c r="B224" s="56">
        <v>14.2</v>
      </c>
      <c r="C224" s="54">
        <v>92.13</v>
      </c>
      <c r="D224" s="54">
        <v>77.929999999999993</v>
      </c>
    </row>
    <row r="225" spans="1:4" x14ac:dyDescent="0.2">
      <c r="A225" s="103">
        <v>46134</v>
      </c>
      <c r="B225" s="56">
        <v>14.5</v>
      </c>
      <c r="C225" s="54">
        <v>92.96</v>
      </c>
      <c r="D225" s="54">
        <v>78.459999999999994</v>
      </c>
    </row>
    <row r="226" spans="1:4" x14ac:dyDescent="0.2">
      <c r="A226" s="103">
        <v>46135</v>
      </c>
      <c r="B226" s="56">
        <v>14.75</v>
      </c>
      <c r="C226" s="54">
        <v>95.85</v>
      </c>
      <c r="D226" s="54">
        <v>81.099999999999994</v>
      </c>
    </row>
    <row r="227" spans="1:4" x14ac:dyDescent="0.2">
      <c r="A227" s="103">
        <v>46136</v>
      </c>
      <c r="B227" s="56">
        <v>14.75</v>
      </c>
      <c r="C227" s="54">
        <v>94.4</v>
      </c>
      <c r="D227" s="54">
        <v>79.650000000000006</v>
      </c>
    </row>
    <row r="228" spans="1:4" x14ac:dyDescent="0.2">
      <c r="A228" s="103">
        <v>46139</v>
      </c>
      <c r="B228" s="56">
        <v>15.05</v>
      </c>
      <c r="C228" s="56">
        <v>96.37</v>
      </c>
      <c r="D228" s="56">
        <v>81.320000000000007</v>
      </c>
    </row>
    <row r="229" spans="1:4" x14ac:dyDescent="0.2">
      <c r="A229" s="103">
        <v>46140</v>
      </c>
      <c r="B229" s="56">
        <v>14.85</v>
      </c>
      <c r="C229" s="56">
        <v>99.93</v>
      </c>
      <c r="D229" s="94">
        <v>85.080000000000013</v>
      </c>
    </row>
    <row r="230" spans="1:4" x14ac:dyDescent="0.2">
      <c r="A230" s="103">
        <v>46141</v>
      </c>
      <c r="B230" s="56">
        <v>15.5</v>
      </c>
      <c r="C230" s="56">
        <v>106.88</v>
      </c>
      <c r="D230" s="94">
        <v>91.38</v>
      </c>
    </row>
    <row r="231" spans="1:4" x14ac:dyDescent="0.2">
      <c r="A231" s="103">
        <v>46142</v>
      </c>
      <c r="B231" s="56">
        <v>15.7</v>
      </c>
      <c r="C231" s="56">
        <v>105.07</v>
      </c>
      <c r="D231" s="94">
        <v>89.36999999999999</v>
      </c>
    </row>
    <row r="232" spans="1:4" x14ac:dyDescent="0.2">
      <c r="A232" s="103">
        <v>46143</v>
      </c>
      <c r="B232" s="56">
        <v>16.54</v>
      </c>
      <c r="C232" s="56">
        <v>101.94</v>
      </c>
      <c r="D232" s="94">
        <v>85.4</v>
      </c>
    </row>
    <row r="233" spans="1:4" x14ac:dyDescent="0.2">
      <c r="A233" s="103">
        <v>46146</v>
      </c>
      <c r="B233" s="56">
        <v>16.348600000000001</v>
      </c>
      <c r="C233" s="56">
        <v>106.42</v>
      </c>
      <c r="D233" s="94">
        <v>90.071399999999997</v>
      </c>
    </row>
    <row r="234" spans="1:4" x14ac:dyDescent="0.2">
      <c r="A234" s="103">
        <v>46147</v>
      </c>
      <c r="B234" s="56">
        <v>16.232900000000001</v>
      </c>
      <c r="C234" s="56">
        <v>102.27</v>
      </c>
      <c r="D234" s="94">
        <v>86.037099999999995</v>
      </c>
    </row>
    <row r="235" spans="1:4" x14ac:dyDescent="0.2">
      <c r="A235" s="103">
        <v>46148</v>
      </c>
      <c r="B235" s="56">
        <v>16.100999999999999</v>
      </c>
      <c r="C235" s="56">
        <v>95.08</v>
      </c>
      <c r="D235" s="94">
        <v>78.978999999999999</v>
      </c>
    </row>
    <row r="236" spans="1:4" x14ac:dyDescent="0.2">
      <c r="A236" s="103">
        <v>46149</v>
      </c>
      <c r="B236" s="56">
        <v>15.939299999999999</v>
      </c>
      <c r="C236" s="56">
        <v>94.81</v>
      </c>
      <c r="D236" s="94">
        <v>78.870699999999999</v>
      </c>
    </row>
    <row r="237" spans="1:4" x14ac:dyDescent="0.2">
      <c r="A237" s="103">
        <v>46150</v>
      </c>
      <c r="B237" s="56">
        <v>15.911799999999999</v>
      </c>
      <c r="C237" s="56">
        <v>95.42</v>
      </c>
      <c r="D237" s="94">
        <v>79.508200000000002</v>
      </c>
    </row>
    <row r="238" spans="1:4" x14ac:dyDescent="0.2">
      <c r="A238" s="103">
        <v>46153</v>
      </c>
      <c r="B238" s="56">
        <v>15.903600000000001</v>
      </c>
      <c r="C238" s="54">
        <v>98.07</v>
      </c>
      <c r="D238" s="54">
        <v>82.166399999999996</v>
      </c>
    </row>
    <row r="239" spans="1:4" x14ac:dyDescent="0.2">
      <c r="A239" s="103">
        <v>46154</v>
      </c>
      <c r="B239" s="56">
        <v>15.9085</v>
      </c>
      <c r="C239" s="54">
        <v>102.18</v>
      </c>
      <c r="D239" s="54">
        <v>86.271500000000003</v>
      </c>
    </row>
    <row r="240" spans="1:4" x14ac:dyDescent="0.2">
      <c r="A240" s="103">
        <v>46155</v>
      </c>
      <c r="B240" s="56">
        <v>15.904999999999999</v>
      </c>
      <c r="C240" s="56">
        <v>101.02</v>
      </c>
      <c r="D240" s="56">
        <v>85.114999999999995</v>
      </c>
    </row>
    <row r="241" spans="1:4" x14ac:dyDescent="0.2">
      <c r="A241" s="103">
        <v>46156</v>
      </c>
      <c r="B241" s="56">
        <v>15.891999999999999</v>
      </c>
      <c r="C241" s="56">
        <v>101.17</v>
      </c>
      <c r="D241" s="93">
        <v>85.278000000000006</v>
      </c>
    </row>
    <row r="242" spans="1:4" x14ac:dyDescent="0.2">
      <c r="A242" s="103">
        <v>46157</v>
      </c>
      <c r="B242" s="56">
        <v>15.891999999999999</v>
      </c>
      <c r="C242" s="56">
        <v>105.42</v>
      </c>
      <c r="D242" s="93">
        <v>89.528000000000006</v>
      </c>
    </row>
    <row r="243" spans="1:4" x14ac:dyDescent="0.2">
      <c r="A243" s="103">
        <v>46160</v>
      </c>
      <c r="B243" s="56">
        <v>14</v>
      </c>
      <c r="C243" s="56">
        <v>108.66</v>
      </c>
      <c r="D243" s="93">
        <v>94.66</v>
      </c>
    </row>
    <row r="244" spans="1:4" x14ac:dyDescent="0.2">
      <c r="A244" s="103">
        <v>46161</v>
      </c>
      <c r="B244" s="56">
        <v>14.1</v>
      </c>
      <c r="C244" s="56">
        <v>107.77</v>
      </c>
      <c r="D244" s="93">
        <v>93.67</v>
      </c>
    </row>
    <row r="245" spans="1:4" x14ac:dyDescent="0.2">
      <c r="A245" s="103">
        <v>46162</v>
      </c>
      <c r="B245" s="56">
        <v>14</v>
      </c>
      <c r="C245" s="56">
        <v>98.26</v>
      </c>
      <c r="D245" s="93">
        <v>84.26</v>
      </c>
    </row>
    <row r="246" spans="1:4" x14ac:dyDescent="0.2">
      <c r="A246" s="103">
        <v>46163</v>
      </c>
      <c r="B246" s="56">
        <v>13.95</v>
      </c>
      <c r="C246" s="56">
        <v>96.35</v>
      </c>
      <c r="D246" s="93">
        <v>82.399999999999991</v>
      </c>
    </row>
    <row r="247" spans="1:4" s="106" customFormat="1" ht="15" x14ac:dyDescent="0.25">
      <c r="A247" s="103">
        <v>46164</v>
      </c>
      <c r="B247" s="56">
        <v>13.65</v>
      </c>
      <c r="C247" s="56">
        <v>96.6</v>
      </c>
      <c r="D247" s="93">
        <v>82.949999999999989</v>
      </c>
    </row>
    <row r="248" spans="1:4" s="107" customFormat="1" ht="15.75" x14ac:dyDescent="0.25">
      <c r="A248" s="103">
        <v>46168</v>
      </c>
      <c r="B248" s="56">
        <v>13.65</v>
      </c>
      <c r="C248" s="56">
        <v>93.89</v>
      </c>
      <c r="D248" s="93">
        <v>80.239999999999995</v>
      </c>
    </row>
    <row r="249" spans="1:4" s="107" customFormat="1" ht="15.75" x14ac:dyDescent="0.25">
      <c r="A249" s="103">
        <v>46169</v>
      </c>
      <c r="B249" s="56">
        <v>13.5</v>
      </c>
      <c r="C249" s="56">
        <v>88.68</v>
      </c>
      <c r="D249" s="93">
        <v>75.180000000000007</v>
      </c>
    </row>
    <row r="250" spans="1:4" s="107" customFormat="1" ht="15.75" x14ac:dyDescent="0.25">
      <c r="A250" s="103">
        <v>46170</v>
      </c>
      <c r="B250" s="56">
        <v>13.4</v>
      </c>
      <c r="C250" s="56">
        <v>88.9</v>
      </c>
      <c r="D250" s="93">
        <v>75.5</v>
      </c>
    </row>
    <row r="251" spans="1:4" x14ac:dyDescent="0.2">
      <c r="A251" s="103">
        <v>46171</v>
      </c>
      <c r="B251" s="56">
        <v>13.15</v>
      </c>
      <c r="C251" s="56">
        <v>87.36</v>
      </c>
      <c r="D251" s="56">
        <v>74.209999999999994</v>
      </c>
    </row>
    <row r="252" spans="1:4" x14ac:dyDescent="0.2">
      <c r="A252" s="103">
        <v>46174</v>
      </c>
      <c r="B252" s="56">
        <v>13.0825</v>
      </c>
      <c r="C252" s="56">
        <v>92.16</v>
      </c>
      <c r="D252" s="56">
        <v>79.077500000000001</v>
      </c>
    </row>
    <row r="253" spans="1:4" x14ac:dyDescent="0.2">
      <c r="A253" s="103">
        <v>46175</v>
      </c>
      <c r="B253" s="56">
        <v>12.5823</v>
      </c>
      <c r="C253" s="56">
        <v>93.76</v>
      </c>
      <c r="D253" s="56">
        <v>81.177700000000002</v>
      </c>
    </row>
    <row r="254" spans="1:4" x14ac:dyDescent="0.2">
      <c r="A254" s="103">
        <v>46176</v>
      </c>
      <c r="B254" s="56">
        <v>12.5161</v>
      </c>
      <c r="C254" s="56">
        <v>96.02</v>
      </c>
      <c r="D254" s="56">
        <v>83.503900000000002</v>
      </c>
    </row>
    <row r="255" spans="1:4" x14ac:dyDescent="0.2">
      <c r="A255" s="103">
        <v>46177</v>
      </c>
      <c r="B255" s="56">
        <v>12.3894</v>
      </c>
      <c r="C255" s="56">
        <v>93.04</v>
      </c>
      <c r="D255" s="56">
        <v>80.650600000000011</v>
      </c>
    </row>
    <row r="256" spans="1:4" x14ac:dyDescent="0.2">
      <c r="A256" s="103">
        <v>46178</v>
      </c>
      <c r="B256" s="110">
        <v>12.322900000000001</v>
      </c>
      <c r="C256" s="110">
        <v>90.54</v>
      </c>
      <c r="D256" s="111">
        <v>78.217100000000002</v>
      </c>
    </row>
    <row r="257" spans="1:4" x14ac:dyDescent="0.2">
      <c r="A257" s="103">
        <v>46181</v>
      </c>
      <c r="B257" s="111">
        <v>12.2691</v>
      </c>
      <c r="C257" s="111">
        <v>91.3</v>
      </c>
      <c r="D257" s="111">
        <v>79.030900000000003</v>
      </c>
    </row>
    <row r="258" spans="1:4" x14ac:dyDescent="0.2">
      <c r="A258" s="103">
        <v>46182</v>
      </c>
      <c r="B258" s="111">
        <v>12.196400000000001</v>
      </c>
      <c r="C258" s="111">
        <v>88.2</v>
      </c>
      <c r="D258" s="111">
        <v>76.003600000000006</v>
      </c>
    </row>
    <row r="259" spans="1:4" x14ac:dyDescent="0.2">
      <c r="A259" s="103">
        <v>46183</v>
      </c>
      <c r="B259" s="111">
        <v>12.1388</v>
      </c>
      <c r="C259" s="111">
        <v>90.03</v>
      </c>
      <c r="D259" s="111">
        <v>77.891199999999998</v>
      </c>
    </row>
    <row r="260" spans="1:4" x14ac:dyDescent="0.2">
      <c r="A260" s="103">
        <v>46184</v>
      </c>
      <c r="B260" s="111">
        <v>12.1076</v>
      </c>
      <c r="C260" s="111">
        <v>87.71</v>
      </c>
      <c r="D260" s="111">
        <v>75.602399999999989</v>
      </c>
    </row>
    <row r="261" spans="1:4" ht="15" x14ac:dyDescent="0.25">
      <c r="A261" s="103">
        <v>46185</v>
      </c>
      <c r="B261" s="113">
        <v>12.08</v>
      </c>
      <c r="C261" s="114">
        <v>84.88</v>
      </c>
      <c r="D261" s="115">
        <v>72.8</v>
      </c>
    </row>
    <row r="262" spans="1:4" ht="15" x14ac:dyDescent="0.25">
      <c r="A262" s="103">
        <v>46188</v>
      </c>
      <c r="B262" s="113">
        <v>12.0631</v>
      </c>
      <c r="C262" s="114">
        <v>80.75</v>
      </c>
      <c r="D262" s="113">
        <v>68.686899999999994</v>
      </c>
    </row>
    <row r="263" spans="1:4" ht="15" x14ac:dyDescent="0.25">
      <c r="A263" s="103">
        <v>46189</v>
      </c>
      <c r="B263" s="113">
        <v>12.0631</v>
      </c>
      <c r="C263" s="114">
        <v>76.05</v>
      </c>
      <c r="D263" s="113">
        <v>63.986899999999999</v>
      </c>
    </row>
    <row r="264" spans="1:4" ht="15" x14ac:dyDescent="0.25">
      <c r="A264" s="103">
        <v>46190</v>
      </c>
      <c r="B264" s="113">
        <v>12.25</v>
      </c>
      <c r="C264" s="114">
        <v>76.790000000000006</v>
      </c>
      <c r="D264" s="113">
        <v>64.540000000000006</v>
      </c>
    </row>
    <row r="265" spans="1:4" ht="15" x14ac:dyDescent="0.25">
      <c r="A265" s="103">
        <v>46191</v>
      </c>
      <c r="B265" s="113">
        <v>12.5</v>
      </c>
      <c r="C265" s="114">
        <v>76.599999999999994</v>
      </c>
      <c r="D265" s="113">
        <v>64.099999999999994</v>
      </c>
    </row>
    <row r="266" spans="1:4" x14ac:dyDescent="0.2">
      <c r="A266" s="103">
        <v>46195</v>
      </c>
      <c r="B266" s="117">
        <v>12.65</v>
      </c>
      <c r="C266" s="117">
        <v>74.819999999999993</v>
      </c>
      <c r="D266" s="117">
        <v>62.169999999999995</v>
      </c>
    </row>
    <row r="267" spans="1:4" x14ac:dyDescent="0.2">
      <c r="A267" s="103">
        <v>46196</v>
      </c>
      <c r="B267" s="117">
        <v>13</v>
      </c>
      <c r="C267" s="117">
        <v>73.209999999999994</v>
      </c>
      <c r="D267" s="117">
        <v>60.209999999999994</v>
      </c>
    </row>
    <row r="268" spans="1:4" x14ac:dyDescent="0.2">
      <c r="A268" s="103">
        <v>46197</v>
      </c>
      <c r="B268" s="117">
        <v>13.9</v>
      </c>
      <c r="C268" s="117">
        <v>70.34</v>
      </c>
      <c r="D268" s="117">
        <v>56.440000000000005</v>
      </c>
    </row>
    <row r="269" spans="1:4" x14ac:dyDescent="0.2">
      <c r="A269" s="103">
        <v>46198</v>
      </c>
      <c r="B269" s="117">
        <v>13.9</v>
      </c>
      <c r="C269" s="117">
        <v>71.92</v>
      </c>
      <c r="D269" s="117">
        <v>58.02</v>
      </c>
    </row>
    <row r="270" spans="1:4" x14ac:dyDescent="0.2">
      <c r="A270" s="103">
        <v>46199</v>
      </c>
      <c r="B270" s="117">
        <v>14.25</v>
      </c>
      <c r="C270" s="117">
        <v>69.23</v>
      </c>
      <c r="D270" s="117">
        <v>54.980000000000004</v>
      </c>
    </row>
    <row r="271" spans="1:4" x14ac:dyDescent="0.2">
      <c r="A271" s="103">
        <v>46202</v>
      </c>
      <c r="B271" s="117">
        <v>13.8</v>
      </c>
      <c r="C271" s="117">
        <v>70.75</v>
      </c>
      <c r="D271" s="117">
        <v>56.95</v>
      </c>
    </row>
    <row r="272" spans="1:4" x14ac:dyDescent="0.2">
      <c r="A272" s="103">
        <v>46203</v>
      </c>
      <c r="B272" s="117">
        <v>13.9</v>
      </c>
      <c r="C272" s="117">
        <v>69.5</v>
      </c>
      <c r="D272" s="117">
        <v>55.6</v>
      </c>
    </row>
    <row r="273" spans="1:4" x14ac:dyDescent="0.2">
      <c r="A273" s="103">
        <v>46204</v>
      </c>
      <c r="B273" s="117">
        <v>15.35</v>
      </c>
      <c r="C273" s="117">
        <v>68.58</v>
      </c>
      <c r="D273" s="117">
        <v>53.23</v>
      </c>
    </row>
    <row r="274" spans="1:4" x14ac:dyDescent="0.2">
      <c r="A274" s="103">
        <v>46205</v>
      </c>
      <c r="B274" s="117">
        <v>15.565799999999999</v>
      </c>
      <c r="C274" s="117">
        <v>68.69</v>
      </c>
      <c r="D274" s="117">
        <v>53.124200000000002</v>
      </c>
    </row>
    <row r="275" spans="1:4" x14ac:dyDescent="0.2">
      <c r="A275" s="103">
        <v>46209</v>
      </c>
      <c r="B275" s="117">
        <v>15.326599999999999</v>
      </c>
      <c r="C275" s="117">
        <v>68.55</v>
      </c>
      <c r="D275" s="117">
        <v>53.223399999999998</v>
      </c>
    </row>
    <row r="276" spans="1:4" x14ac:dyDescent="0.2">
      <c r="A276" s="103">
        <v>46210</v>
      </c>
      <c r="B276" s="117">
        <v>15.2478</v>
      </c>
      <c r="C276" s="117">
        <v>70.44</v>
      </c>
      <c r="D276" s="117">
        <v>55.1922</v>
      </c>
    </row>
    <row r="277" spans="1:4" x14ac:dyDescent="0.2">
      <c r="A277" s="103">
        <v>46211</v>
      </c>
      <c r="B277" s="117">
        <v>15.0852</v>
      </c>
      <c r="C277" s="117">
        <v>73.52</v>
      </c>
      <c r="D277" s="117">
        <v>58.434799999999996</v>
      </c>
    </row>
    <row r="278" spans="1:4" x14ac:dyDescent="0.2">
      <c r="A278" s="103">
        <v>46212</v>
      </c>
      <c r="B278" s="117">
        <v>14.952</v>
      </c>
      <c r="C278" s="117">
        <v>72.08</v>
      </c>
      <c r="D278" s="117">
        <v>57.128</v>
      </c>
    </row>
    <row r="279" spans="1:4" x14ac:dyDescent="0.2">
      <c r="A279" s="103">
        <v>46213</v>
      </c>
      <c r="B279" s="111">
        <v>14.8278</v>
      </c>
      <c r="C279" s="111">
        <v>71.41</v>
      </c>
      <c r="D279" s="111">
        <v>56.5822</v>
      </c>
    </row>
    <row r="280" spans="1:4" x14ac:dyDescent="0.2">
      <c r="A280" s="103">
        <v>46216</v>
      </c>
      <c r="B280" s="111">
        <v>14.707599999999999</v>
      </c>
      <c r="C280" s="111">
        <v>78.14</v>
      </c>
      <c r="D280" s="111">
        <v>63.432400000000001</v>
      </c>
    </row>
    <row r="281" spans="1:4" x14ac:dyDescent="0.2">
      <c r="A281" s="103">
        <v>46217</v>
      </c>
      <c r="B281" s="111">
        <v>14.521800000000001</v>
      </c>
      <c r="C281" s="111">
        <v>79.34</v>
      </c>
      <c r="D281" s="111">
        <v>64.818200000000004</v>
      </c>
    </row>
    <row r="282" spans="1:4" x14ac:dyDescent="0.2">
      <c r="A282" s="103">
        <v>46218</v>
      </c>
      <c r="B282" s="111">
        <v>14.3666</v>
      </c>
      <c r="C282" s="111">
        <v>79.599999999999994</v>
      </c>
      <c r="D282" s="111">
        <v>65.233399999999989</v>
      </c>
    </row>
    <row r="283" spans="1:4" x14ac:dyDescent="0.2">
      <c r="A283" s="103">
        <v>46219</v>
      </c>
      <c r="B283" s="111">
        <v>14.248900000000001</v>
      </c>
      <c r="C283" s="111">
        <v>78.95</v>
      </c>
      <c r="D283" s="111">
        <v>64.701099999999997</v>
      </c>
    </row>
    <row r="284" spans="1:4" x14ac:dyDescent="0.2">
      <c r="A284" s="103">
        <v>46220</v>
      </c>
      <c r="B284" s="110">
        <v>14.236800000000001</v>
      </c>
      <c r="C284" s="110">
        <v>82.49</v>
      </c>
      <c r="D284" s="111">
        <v>68.253199999999993</v>
      </c>
    </row>
    <row r="285" spans="1:4" x14ac:dyDescent="0.2">
      <c r="A285" s="103">
        <v>46223</v>
      </c>
      <c r="B285" s="110">
        <v>14.236800000000001</v>
      </c>
      <c r="C285" s="111">
        <v>83.23</v>
      </c>
      <c r="D285" s="111">
        <v>68.993200000000002</v>
      </c>
    </row>
    <row r="286" spans="1:4" x14ac:dyDescent="0.2">
      <c r="A286" s="103">
        <v>46224</v>
      </c>
      <c r="B286" s="110">
        <v>13.4</v>
      </c>
      <c r="C286" s="111">
        <v>84.91</v>
      </c>
      <c r="D286" s="111">
        <v>71.509999999999991</v>
      </c>
    </row>
    <row r="287" spans="1:4" x14ac:dyDescent="0.2">
      <c r="A287" s="103">
        <v>46225</v>
      </c>
      <c r="B287" s="146">
        <v>13.85</v>
      </c>
      <c r="C287" s="147">
        <v>86.83</v>
      </c>
      <c r="D287" s="147">
        <v>72.98</v>
      </c>
    </row>
    <row r="288" spans="1:4" x14ac:dyDescent="0.2">
      <c r="A288" s="103">
        <v>46226</v>
      </c>
      <c r="B288" s="110">
        <v>13.9</v>
      </c>
      <c r="C288" s="147">
        <v>92.19</v>
      </c>
      <c r="D288" s="147">
        <v>78.289999999999992</v>
      </c>
    </row>
    <row r="289" spans="1:4" x14ac:dyDescent="0.2">
      <c r="A289" s="103" t="s">
        <v>287</v>
      </c>
      <c r="B289" s="110">
        <v>13.95</v>
      </c>
      <c r="C289" s="147">
        <v>89.31</v>
      </c>
      <c r="D289" s="147">
        <v>75.36</v>
      </c>
    </row>
    <row r="290" spans="1:4" x14ac:dyDescent="0.2">
      <c r="A290" s="103" t="s">
        <v>288</v>
      </c>
      <c r="B290" s="110">
        <v>13.85</v>
      </c>
      <c r="C290" s="147">
        <v>82.61</v>
      </c>
      <c r="D290" s="147">
        <v>68.760000000000005</v>
      </c>
    </row>
    <row r="291" spans="1:4" x14ac:dyDescent="0.2">
      <c r="A291" s="103" t="s">
        <v>289</v>
      </c>
      <c r="B291" s="110">
        <v>14.5</v>
      </c>
      <c r="C291" s="147">
        <v>79.260000000000005</v>
      </c>
      <c r="D291" s="147">
        <v>64.760000000000005</v>
      </c>
    </row>
    <row r="292" spans="1:4" x14ac:dyDescent="0.2">
      <c r="A292" s="103" t="s">
        <v>290</v>
      </c>
      <c r="B292" s="110">
        <v>14.2</v>
      </c>
      <c r="C292" s="147">
        <v>84.46</v>
      </c>
      <c r="D292" s="147">
        <v>70.259999999999991</v>
      </c>
    </row>
    <row r="293" spans="1:4" x14ac:dyDescent="0.2">
      <c r="A293" s="103" t="s">
        <v>291</v>
      </c>
      <c r="B293" s="110">
        <v>14.3</v>
      </c>
      <c r="C293" s="147">
        <v>83.59</v>
      </c>
      <c r="D293" s="147">
        <v>69.290000000000006</v>
      </c>
    </row>
    <row r="294" spans="1:4" x14ac:dyDescent="0.2">
      <c r="A294" s="45">
        <v>46234</v>
      </c>
      <c r="B294" s="110">
        <v>14.25</v>
      </c>
      <c r="C294" s="147">
        <v>84.67</v>
      </c>
      <c r="D294" s="110">
        <v>70.42</v>
      </c>
    </row>
    <row r="295" spans="1:4" x14ac:dyDescent="0.2">
      <c r="A295" s="45">
        <v>46237</v>
      </c>
      <c r="B295" s="110">
        <v>14.25</v>
      </c>
      <c r="C295" s="147">
        <v>80.34</v>
      </c>
      <c r="D295" s="110">
        <v>66.09</v>
      </c>
    </row>
    <row r="296" spans="1:4" x14ac:dyDescent="0.2">
      <c r="A296" s="45">
        <v>46238</v>
      </c>
      <c r="B296" s="110">
        <v>14.416499999999999</v>
      </c>
      <c r="C296" s="147">
        <v>75.77</v>
      </c>
      <c r="D296" s="110">
        <v>61.353499999999997</v>
      </c>
    </row>
    <row r="297" spans="1:4" x14ac:dyDescent="0.2">
      <c r="A297" s="45">
        <v>46239</v>
      </c>
      <c r="B297" s="110">
        <v>14.756600000000001</v>
      </c>
      <c r="C297" s="147">
        <v>75.22</v>
      </c>
      <c r="D297" s="110">
        <v>60.4634</v>
      </c>
    </row>
    <row r="298" spans="1:4" x14ac:dyDescent="0.2">
      <c r="A298" s="45">
        <v>46240</v>
      </c>
      <c r="B298" s="110">
        <v>14.800700000000001</v>
      </c>
      <c r="C298" s="147">
        <v>77.290000000000006</v>
      </c>
      <c r="D298" s="110">
        <v>62.489300000000007</v>
      </c>
    </row>
    <row r="299" spans="1:4" x14ac:dyDescent="0.2">
      <c r="A299" s="45">
        <v>46241</v>
      </c>
      <c r="B299" s="54">
        <v>14.7941</v>
      </c>
      <c r="C299" s="148">
        <v>78.180000000000007</v>
      </c>
      <c r="D299" s="54">
        <v>63.385900000000007</v>
      </c>
    </row>
    <row r="300" spans="1:4" x14ac:dyDescent="0.2">
      <c r="A300" s="45">
        <v>46244</v>
      </c>
      <c r="B300" s="54">
        <v>14.7887</v>
      </c>
      <c r="C300" s="148">
        <v>82.13</v>
      </c>
      <c r="D300" s="54">
        <v>67.34129999999999</v>
      </c>
    </row>
    <row r="301" spans="1:4" x14ac:dyDescent="0.2">
      <c r="A301" s="45">
        <v>46245</v>
      </c>
      <c r="B301" s="54">
        <v>14.8924</v>
      </c>
      <c r="C301" s="148">
        <v>83.2</v>
      </c>
      <c r="D301" s="54">
        <v>68.307600000000008</v>
      </c>
    </row>
    <row r="302" spans="1:4" x14ac:dyDescent="0.2">
      <c r="A302" s="45">
        <v>46246</v>
      </c>
      <c r="B302" s="54">
        <v>15.051</v>
      </c>
      <c r="C302" s="148">
        <v>83.27</v>
      </c>
      <c r="D302" s="54">
        <v>68.218999999999994</v>
      </c>
    </row>
    <row r="303" spans="1:4" x14ac:dyDescent="0.2">
      <c r="A303" s="45">
        <v>46247</v>
      </c>
      <c r="B303" s="54">
        <v>15.209099999999999</v>
      </c>
      <c r="C303" s="148">
        <v>81.25</v>
      </c>
      <c r="D303" s="54">
        <v>66.040899999999993</v>
      </c>
    </row>
    <row r="304" spans="1:4" x14ac:dyDescent="0.2">
      <c r="A304" s="45">
        <v>46248</v>
      </c>
      <c r="B304" s="149">
        <v>15.306900000000001</v>
      </c>
      <c r="C304" s="149">
        <v>82.4</v>
      </c>
      <c r="D304" s="117">
        <v>67.093100000000007</v>
      </c>
    </row>
    <row r="305" spans="1:5" x14ac:dyDescent="0.2">
      <c r="A305" s="45">
        <v>46251</v>
      </c>
      <c r="B305" s="149">
        <v>15.323600000000001</v>
      </c>
      <c r="C305" s="149">
        <v>84.5</v>
      </c>
      <c r="D305" s="117">
        <v>69.176400000000001</v>
      </c>
    </row>
    <row r="306" spans="1:5" x14ac:dyDescent="0.2">
      <c r="A306" s="45">
        <v>46252</v>
      </c>
      <c r="B306" s="149">
        <v>15.323600000000001</v>
      </c>
      <c r="C306" s="149">
        <v>84.94</v>
      </c>
      <c r="D306" s="117">
        <v>69.616399999999999</v>
      </c>
    </row>
    <row r="307" spans="1:5" x14ac:dyDescent="0.2">
      <c r="A307" s="45">
        <v>46253</v>
      </c>
      <c r="B307" s="149">
        <v>16</v>
      </c>
      <c r="C307" s="149">
        <v>85.83</v>
      </c>
      <c r="D307" s="117">
        <v>69.83</v>
      </c>
    </row>
    <row r="308" spans="1:5" x14ac:dyDescent="0.2">
      <c r="A308" s="45">
        <v>46254</v>
      </c>
      <c r="B308" s="149">
        <v>16.399999999999999</v>
      </c>
      <c r="C308" s="149">
        <v>87.83</v>
      </c>
      <c r="D308" s="117">
        <v>71.430000000000007</v>
      </c>
    </row>
    <row r="309" spans="1:5" x14ac:dyDescent="0.2">
      <c r="A309" s="45">
        <v>46255</v>
      </c>
      <c r="B309" s="149">
        <v>16.149999999999999</v>
      </c>
      <c r="C309" s="149">
        <v>87.06</v>
      </c>
      <c r="D309" s="117">
        <v>70.91</v>
      </c>
      <c r="E309" s="149"/>
    </row>
    <row r="310" spans="1:5" x14ac:dyDescent="0.2">
      <c r="A310" s="45">
        <v>46258</v>
      </c>
      <c r="B310" s="149">
        <v>16.399999999999999</v>
      </c>
      <c r="C310" s="149">
        <v>85.01</v>
      </c>
      <c r="D310" s="117">
        <v>68.610000000000014</v>
      </c>
      <c r="E310" s="149"/>
    </row>
    <row r="311" spans="1:5" x14ac:dyDescent="0.2">
      <c r="A311" s="45">
        <v>46259</v>
      </c>
      <c r="B311" s="149">
        <v>16.75</v>
      </c>
      <c r="C311" s="149">
        <v>82.36</v>
      </c>
      <c r="D311" s="117">
        <v>65.61</v>
      </c>
      <c r="E311" s="149"/>
    </row>
    <row r="312" spans="1:5" x14ac:dyDescent="0.2">
      <c r="A312" s="45">
        <v>46260</v>
      </c>
      <c r="B312" s="149">
        <v>16.45</v>
      </c>
      <c r="C312" s="149">
        <v>82.23</v>
      </c>
      <c r="D312" s="117">
        <v>65.78</v>
      </c>
      <c r="E312" s="149"/>
    </row>
    <row r="313" spans="1:5" x14ac:dyDescent="0.2">
      <c r="A313" s="45">
        <v>46261</v>
      </c>
      <c r="B313" s="149">
        <v>16.45</v>
      </c>
      <c r="C313" s="149">
        <v>83.53</v>
      </c>
      <c r="D313" s="117">
        <v>67.08</v>
      </c>
      <c r="E313" s="149"/>
    </row>
    <row r="314" spans="1:5" x14ac:dyDescent="0.2">
      <c r="A314" s="45">
        <v>46262</v>
      </c>
      <c r="B314" s="150">
        <v>16.3</v>
      </c>
      <c r="C314" s="150">
        <v>83.4</v>
      </c>
      <c r="D314" s="54">
        <v>67.100000000000009</v>
      </c>
    </row>
    <row r="315" spans="1:5" x14ac:dyDescent="0.2">
      <c r="A315" s="45">
        <v>46265</v>
      </c>
      <c r="B315" s="150">
        <v>16.149999999999999</v>
      </c>
      <c r="C315" s="54">
        <v>85.76</v>
      </c>
      <c r="D315" s="54">
        <v>69.610000000000014</v>
      </c>
    </row>
    <row r="316" spans="1:5" x14ac:dyDescent="0.2">
      <c r="A316" s="45">
        <v>46266</v>
      </c>
      <c r="B316" s="150">
        <v>16.328299999999999</v>
      </c>
      <c r="C316" s="54">
        <v>90.22</v>
      </c>
      <c r="D316" s="54">
        <v>73.8917</v>
      </c>
    </row>
    <row r="317" spans="1:5" x14ac:dyDescent="0.2">
      <c r="A317" s="45">
        <v>46267</v>
      </c>
      <c r="B317" s="150">
        <v>16.4542</v>
      </c>
      <c r="C317" s="54">
        <v>91.01</v>
      </c>
      <c r="D317" s="54">
        <v>74.555800000000005</v>
      </c>
    </row>
    <row r="318" spans="1:5" x14ac:dyDescent="0.2">
      <c r="A318" s="45">
        <v>46268</v>
      </c>
      <c r="B318" s="150">
        <v>16.559999999999999</v>
      </c>
      <c r="C318" s="54">
        <v>91.3</v>
      </c>
      <c r="D318" s="54">
        <v>74.739999999999995</v>
      </c>
    </row>
    <row r="319" spans="1:5" x14ac:dyDescent="0.2">
      <c r="A319" s="45">
        <v>46269</v>
      </c>
      <c r="B319" s="150">
        <v>16.5792</v>
      </c>
      <c r="C319" s="54">
        <v>91.48</v>
      </c>
      <c r="D319" s="54">
        <v>74.900000000000006</v>
      </c>
    </row>
    <row r="320" spans="1:5" x14ac:dyDescent="0.2">
      <c r="A320" s="45">
        <v>46272</v>
      </c>
      <c r="B320" s="150">
        <v>16.5792</v>
      </c>
      <c r="C320" s="54">
        <v>92.254999999999995</v>
      </c>
      <c r="D320" s="54">
        <v>75.695400000000006</v>
      </c>
    </row>
    <row r="321" spans="1:4" x14ac:dyDescent="0.2">
      <c r="A321" s="45">
        <v>46273</v>
      </c>
      <c r="B321" s="150">
        <v>16.539200000000001</v>
      </c>
      <c r="C321" s="54">
        <v>93.03</v>
      </c>
      <c r="D321" s="54">
        <v>76.490800000000007</v>
      </c>
    </row>
    <row r="322" spans="1:4" x14ac:dyDescent="0.2">
      <c r="A322" s="45">
        <v>46274</v>
      </c>
      <c r="B322" s="150">
        <v>16.497299999999999</v>
      </c>
      <c r="C322" s="54">
        <v>96.05</v>
      </c>
      <c r="D322" s="54">
        <v>79.552700000000002</v>
      </c>
    </row>
    <row r="323" spans="1:4" x14ac:dyDescent="0.2">
      <c r="A323" s="45">
        <v>46275</v>
      </c>
      <c r="B323" s="150">
        <v>16.436399999999999</v>
      </c>
      <c r="C323" s="54">
        <v>102.48</v>
      </c>
      <c r="D323" s="54">
        <v>86.043599999999998</v>
      </c>
    </row>
    <row r="324" spans="1:4" x14ac:dyDescent="0.2">
      <c r="A324" s="45">
        <v>46276</v>
      </c>
      <c r="B324" s="150">
        <v>16.451899999999998</v>
      </c>
      <c r="C324" s="150">
        <v>100.05</v>
      </c>
      <c r="D324" s="54">
        <v>83.598100000000002</v>
      </c>
    </row>
    <row r="325" spans="1:4" x14ac:dyDescent="0.2">
      <c r="A325" s="45">
        <v>46279</v>
      </c>
      <c r="B325" s="150">
        <v>16.4834</v>
      </c>
      <c r="C325" s="54">
        <v>101.39</v>
      </c>
      <c r="D325" s="54">
        <v>84.906599999999997</v>
      </c>
    </row>
    <row r="326" spans="1:4" x14ac:dyDescent="0.2">
      <c r="A326" s="45">
        <v>46280</v>
      </c>
      <c r="B326" s="150">
        <v>16.4834</v>
      </c>
      <c r="C326" s="54">
        <v>105.83</v>
      </c>
      <c r="D326" s="54">
        <v>89.346599999999995</v>
      </c>
    </row>
    <row r="327" spans="1:4" x14ac:dyDescent="0.2">
      <c r="A327" s="45">
        <v>46281</v>
      </c>
      <c r="B327" s="150">
        <v>19.649999999999999</v>
      </c>
      <c r="C327" s="54">
        <v>102.43</v>
      </c>
      <c r="D327" s="54">
        <v>82.78</v>
      </c>
    </row>
    <row r="328" spans="1:4" x14ac:dyDescent="0.2">
      <c r="A328" s="45">
        <v>46282</v>
      </c>
      <c r="B328" s="150">
        <v>19.75</v>
      </c>
      <c r="C328" s="54">
        <v>101.91</v>
      </c>
      <c r="D328" s="54">
        <v>82.16</v>
      </c>
    </row>
    <row r="329" spans="1:4" ht="15" x14ac:dyDescent="0.2">
      <c r="A329" s="45">
        <v>46283</v>
      </c>
      <c r="B329" s="156">
        <f>21</f>
        <v>21</v>
      </c>
      <c r="C329" s="149">
        <v>100.3</v>
      </c>
      <c r="D329" s="149">
        <v>79.3</v>
      </c>
    </row>
    <row r="330" spans="1:4" ht="15" x14ac:dyDescent="0.2">
      <c r="A330" s="45">
        <v>46286</v>
      </c>
      <c r="B330" s="156">
        <v>21.2</v>
      </c>
      <c r="C330" s="149">
        <v>95.78</v>
      </c>
      <c r="D330" s="157">
        <v>74.58</v>
      </c>
    </row>
    <row r="331" spans="1:4" ht="15" x14ac:dyDescent="0.2">
      <c r="A331" s="45">
        <v>46287</v>
      </c>
      <c r="B331" s="156">
        <v>21.8</v>
      </c>
      <c r="C331" s="149">
        <v>94.59</v>
      </c>
      <c r="D331" s="157">
        <v>72.790000000000006</v>
      </c>
    </row>
    <row r="332" spans="1:4" ht="15" x14ac:dyDescent="0.2">
      <c r="A332" s="45">
        <v>46288</v>
      </c>
      <c r="B332" s="156">
        <v>21.25</v>
      </c>
      <c r="C332" s="149">
        <v>92.16</v>
      </c>
      <c r="D332" s="157">
        <v>70.91</v>
      </c>
    </row>
    <row r="333" spans="1:4" ht="15" x14ac:dyDescent="0.2">
      <c r="A333" s="45">
        <v>46289</v>
      </c>
      <c r="B333" s="156">
        <v>20.8</v>
      </c>
      <c r="C333" s="149">
        <v>94.61</v>
      </c>
      <c r="D333" s="157">
        <v>73.81</v>
      </c>
    </row>
    <row r="334" spans="1:4" ht="15" x14ac:dyDescent="0.2">
      <c r="A334" s="45">
        <v>46290</v>
      </c>
      <c r="B334" s="156">
        <v>20.75</v>
      </c>
      <c r="C334" s="149">
        <v>92.41</v>
      </c>
      <c r="D334" s="157">
        <v>71.66</v>
      </c>
    </row>
    <row r="335" spans="1:4" ht="15" x14ac:dyDescent="0.2">
      <c r="A335" s="45">
        <v>46293</v>
      </c>
      <c r="B335" s="156">
        <v>92.6</v>
      </c>
      <c r="C335" s="149">
        <v>20.7</v>
      </c>
      <c r="D335" s="157">
        <v>71.899999999999991</v>
      </c>
    </row>
    <row r="336" spans="1:4" ht="15" x14ac:dyDescent="0.2">
      <c r="A336" s="45">
        <v>46294</v>
      </c>
      <c r="B336" s="156">
        <v>89.38</v>
      </c>
      <c r="C336" s="149">
        <v>22.1</v>
      </c>
      <c r="D336" s="157">
        <v>67.28</v>
      </c>
    </row>
    <row r="337" spans="1:4" ht="15" x14ac:dyDescent="0.2">
      <c r="A337" s="45">
        <v>46295</v>
      </c>
      <c r="B337" s="156">
        <v>90.42</v>
      </c>
      <c r="C337" s="149">
        <v>21.6</v>
      </c>
      <c r="D337" s="157">
        <v>68.819999999999993</v>
      </c>
    </row>
    <row r="338" spans="1:4" x14ac:dyDescent="0.2">
      <c r="A338" s="45">
        <v>46296</v>
      </c>
      <c r="B338" s="158">
        <v>92.91</v>
      </c>
      <c r="C338" s="158">
        <v>23.752800000000001</v>
      </c>
      <c r="D338" s="158">
        <v>69.157199999999989</v>
      </c>
    </row>
    <row r="339" spans="1:4" x14ac:dyDescent="0.2">
      <c r="B339" s="158"/>
      <c r="C339" s="158"/>
      <c r="D339" s="158"/>
    </row>
    <row r="340" spans="1:4" x14ac:dyDescent="0.2">
      <c r="A340" s="57" t="str">
        <f ca="1">Table!A68</f>
        <v>Prepared by: Alberta Treasury Board and Finance, October 2, 2026</v>
      </c>
    </row>
    <row r="342" spans="1:4" x14ac:dyDescent="0.2">
      <c r="A342" s="31"/>
    </row>
  </sheetData>
  <phoneticPr fontId="51" type="noConversion"/>
  <hyperlinks>
    <hyperlink ref="C1" location="'Time Series'!A1" display="Back to main menu" xr:uid="{00000000-0004-0000-0200-000000000000}"/>
  </hyperlinks>
  <pageMargins left="0.7" right="0.7" top="0.75" bottom="0.75" header="0.3" footer="0.3"/>
  <pageSetup orientation="portrait" r:id="rId1"/>
  <headerFooter>
    <oddFooter>&amp;L&amp;1#&amp;"Calibri"&amp;11&amp;K000000Classification: Public</oddFooter>
  </headerFooter>
  <ignoredErrors>
    <ignoredError sqref="A2:A3 A289:A293 A343:A1048576"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tabColor theme="8"/>
  </sheetPr>
  <dimension ref="A1:E159"/>
  <sheetViews>
    <sheetView topLeftCell="A130" zoomScale="120" zoomScaleNormal="120" workbookViewId="0">
      <selection activeCell="D149" sqref="D149"/>
    </sheetView>
  </sheetViews>
  <sheetFormatPr defaultColWidth="8.7109375" defaultRowHeight="12.75" x14ac:dyDescent="0.2"/>
  <cols>
    <col min="1" max="1" width="10.42578125" style="2" bestFit="1" customWidth="1"/>
    <col min="2" max="2" width="13.5703125" style="2" customWidth="1"/>
    <col min="3" max="3" width="9.42578125" style="2"/>
    <col min="4" max="4" width="8.7109375" style="2"/>
    <col min="5" max="5" width="14" style="2" customWidth="1"/>
    <col min="6" max="16384" width="8.7109375" style="2"/>
  </cols>
  <sheetData>
    <row r="1" spans="1:5" x14ac:dyDescent="0.2">
      <c r="A1" s="2" t="s">
        <v>39</v>
      </c>
      <c r="C1" s="32" t="s">
        <v>77</v>
      </c>
    </row>
    <row r="3" spans="1:5" ht="38.25" x14ac:dyDescent="0.2">
      <c r="B3" s="52" t="s">
        <v>263</v>
      </c>
      <c r="E3" t="s">
        <v>283</v>
      </c>
    </row>
    <row r="4" spans="1:5" ht="25.5" x14ac:dyDescent="0.2">
      <c r="B4" s="52" t="s">
        <v>264</v>
      </c>
      <c r="E4" s="17" t="s">
        <v>264</v>
      </c>
    </row>
    <row r="5" spans="1:5" x14ac:dyDescent="0.2">
      <c r="A5" s="58">
        <v>41640</v>
      </c>
      <c r="B5" s="59">
        <v>3.8768692110700886</v>
      </c>
      <c r="C5" s="59"/>
      <c r="D5" t="s">
        <v>84</v>
      </c>
      <c r="E5" s="109">
        <v>4.2484178817086882</v>
      </c>
    </row>
    <row r="6" spans="1:5" x14ac:dyDescent="0.2">
      <c r="A6" s="58">
        <v>41671</v>
      </c>
      <c r="B6" s="59">
        <v>2.9811859548686703</v>
      </c>
      <c r="C6" s="59"/>
      <c r="D6" t="s">
        <v>85</v>
      </c>
      <c r="E6" s="109">
        <v>2.0004561229176154</v>
      </c>
    </row>
    <row r="7" spans="1:5" x14ac:dyDescent="0.2">
      <c r="A7" s="58">
        <v>41699</v>
      </c>
      <c r="B7" s="59">
        <v>4.1323017766059511</v>
      </c>
      <c r="C7" s="59"/>
      <c r="D7" t="s">
        <v>86</v>
      </c>
      <c r="E7" s="109">
        <v>0.11523415845124951</v>
      </c>
    </row>
    <row r="8" spans="1:5" x14ac:dyDescent="0.2">
      <c r="A8" s="58">
        <v>41730</v>
      </c>
      <c r="B8" s="59">
        <v>4.1978232317970265</v>
      </c>
      <c r="C8" s="59"/>
      <c r="D8" t="s">
        <v>87</v>
      </c>
      <c r="E8" s="109">
        <v>-8.0292208160734688</v>
      </c>
    </row>
    <row r="9" spans="1:5" x14ac:dyDescent="0.2">
      <c r="A9" s="58">
        <v>41760</v>
      </c>
      <c r="B9" s="59">
        <v>3.9026472710483873</v>
      </c>
      <c r="C9" s="59"/>
      <c r="D9" t="s">
        <v>88</v>
      </c>
      <c r="E9" s="109">
        <v>5.3193795863909266</v>
      </c>
    </row>
    <row r="10" spans="1:5" x14ac:dyDescent="0.2">
      <c r="A10" s="58">
        <v>41791</v>
      </c>
      <c r="B10" s="59">
        <v>6.7014829464842052</v>
      </c>
      <c r="C10" s="59"/>
      <c r="D10" t="s">
        <v>89</v>
      </c>
      <c r="E10" s="109">
        <v>5.7710037292456828</v>
      </c>
    </row>
    <row r="11" spans="1:5" x14ac:dyDescent="0.2">
      <c r="A11" s="58">
        <v>41821</v>
      </c>
      <c r="B11" s="59">
        <v>5.0229437339051275</v>
      </c>
      <c r="C11" s="59"/>
      <c r="D11" t="s">
        <v>91</v>
      </c>
      <c r="E11" s="109">
        <v>2.4133655398864473</v>
      </c>
    </row>
    <row r="12" spans="1:5" x14ac:dyDescent="0.2">
      <c r="A12" s="58">
        <v>41852</v>
      </c>
      <c r="B12" s="59">
        <v>4.1032332464576493</v>
      </c>
      <c r="C12" s="59"/>
      <c r="D12" t="s">
        <v>201</v>
      </c>
      <c r="E12" s="109">
        <v>2.9553324686897975</v>
      </c>
    </row>
    <row r="13" spans="1:5" x14ac:dyDescent="0.2">
      <c r="A13" s="58">
        <v>41883</v>
      </c>
      <c r="B13" s="59">
        <v>5.1019228595247101</v>
      </c>
      <c r="C13" s="59"/>
      <c r="D13" s="108" t="s">
        <v>286</v>
      </c>
      <c r="E13" s="109">
        <v>2.6505286432309205</v>
      </c>
    </row>
    <row r="14" spans="1:5" x14ac:dyDescent="0.2">
      <c r="A14" s="58">
        <v>41913</v>
      </c>
      <c r="B14" s="59">
        <v>3.7519417361100427</v>
      </c>
      <c r="C14" s="59"/>
    </row>
    <row r="15" spans="1:5" x14ac:dyDescent="0.2">
      <c r="A15" s="58">
        <v>41944</v>
      </c>
      <c r="B15" s="59">
        <v>2.5399643480885192</v>
      </c>
      <c r="C15" s="59"/>
      <c r="D15" s="60"/>
      <c r="E15" s="61"/>
    </row>
    <row r="16" spans="1:5" x14ac:dyDescent="0.2">
      <c r="A16" s="58">
        <v>41974</v>
      </c>
      <c r="B16" s="59">
        <v>3.0427844714460139</v>
      </c>
      <c r="C16" s="59"/>
    </row>
    <row r="17" spans="1:3" x14ac:dyDescent="0.2">
      <c r="A17" s="58">
        <v>42005</v>
      </c>
      <c r="B17" s="59">
        <v>1.373362863577654</v>
      </c>
      <c r="C17" s="59"/>
    </row>
    <row r="18" spans="1:3" x14ac:dyDescent="0.2">
      <c r="A18" s="58">
        <v>42036</v>
      </c>
      <c r="B18" s="59">
        <v>0.2587176472079733</v>
      </c>
      <c r="C18" s="59"/>
    </row>
    <row r="19" spans="1:3" x14ac:dyDescent="0.2">
      <c r="A19" s="58">
        <v>42064</v>
      </c>
      <c r="B19" s="59">
        <v>-0.69946723000327005</v>
      </c>
      <c r="C19" s="59"/>
    </row>
    <row r="20" spans="1:3" x14ac:dyDescent="0.2">
      <c r="A20" s="58">
        <v>42095</v>
      </c>
      <c r="B20" s="59">
        <v>-3.0094655577908802</v>
      </c>
      <c r="C20" s="59"/>
    </row>
    <row r="21" spans="1:3" x14ac:dyDescent="0.2">
      <c r="A21" s="58">
        <v>42125</v>
      </c>
      <c r="B21" s="59">
        <v>-3.2309300227791993</v>
      </c>
      <c r="C21" s="59"/>
    </row>
    <row r="22" spans="1:3" x14ac:dyDescent="0.2">
      <c r="A22" s="58">
        <v>42156</v>
      </c>
      <c r="B22" s="59">
        <v>-4.2451869584147932</v>
      </c>
      <c r="C22" s="59"/>
    </row>
    <row r="23" spans="1:3" x14ac:dyDescent="0.2">
      <c r="A23" s="58">
        <v>42186</v>
      </c>
      <c r="B23" s="59">
        <v>-3.6207871587240925</v>
      </c>
      <c r="C23" s="59"/>
    </row>
    <row r="24" spans="1:3" x14ac:dyDescent="0.2">
      <c r="A24" s="58">
        <v>42217</v>
      </c>
      <c r="B24" s="59">
        <v>-3.9204097279465056</v>
      </c>
      <c r="C24" s="59"/>
    </row>
    <row r="25" spans="1:3" x14ac:dyDescent="0.2">
      <c r="A25" s="58">
        <v>42248</v>
      </c>
      <c r="B25" s="59">
        <v>-5.3542398420266419</v>
      </c>
      <c r="C25" s="59"/>
    </row>
    <row r="26" spans="1:3" x14ac:dyDescent="0.2">
      <c r="A26" s="58">
        <v>42278</v>
      </c>
      <c r="B26" s="59">
        <v>-6.1178542208013003</v>
      </c>
      <c r="C26" s="59"/>
    </row>
    <row r="27" spans="1:3" x14ac:dyDescent="0.2">
      <c r="A27" s="58">
        <v>42309</v>
      </c>
      <c r="B27" s="59">
        <v>-5.0867650071932839</v>
      </c>
      <c r="C27" s="59"/>
    </row>
    <row r="28" spans="1:3" x14ac:dyDescent="0.2">
      <c r="A28" s="58">
        <v>42339</v>
      </c>
      <c r="B28" s="59">
        <v>-6.4713151826543243</v>
      </c>
      <c r="C28" s="59"/>
    </row>
    <row r="29" spans="1:3" x14ac:dyDescent="0.2">
      <c r="A29" s="58">
        <v>42370</v>
      </c>
      <c r="B29" s="59">
        <v>-6.7152131565626387</v>
      </c>
      <c r="C29" s="59"/>
    </row>
    <row r="30" spans="1:3" x14ac:dyDescent="0.2">
      <c r="A30" s="58">
        <v>42401</v>
      </c>
      <c r="B30" s="59">
        <v>-5.5480016885203103</v>
      </c>
      <c r="C30" s="59"/>
    </row>
    <row r="31" spans="1:3" x14ac:dyDescent="0.2">
      <c r="A31" s="58">
        <v>42430</v>
      </c>
      <c r="B31" s="59">
        <v>-7.003219281328132</v>
      </c>
      <c r="C31" s="59"/>
    </row>
    <row r="32" spans="1:3" x14ac:dyDescent="0.2">
      <c r="A32" s="58">
        <v>42461</v>
      </c>
      <c r="B32" s="59">
        <v>-4.6229183693711544</v>
      </c>
      <c r="C32" s="59"/>
    </row>
    <row r="33" spans="1:3" x14ac:dyDescent="0.2">
      <c r="A33" s="58">
        <v>42491</v>
      </c>
      <c r="B33" s="59">
        <v>-7.6135436754285131</v>
      </c>
      <c r="C33" s="59"/>
    </row>
    <row r="34" spans="1:3" x14ac:dyDescent="0.2">
      <c r="A34" s="58">
        <v>42522</v>
      </c>
      <c r="B34" s="59">
        <v>-6.7168836898918727</v>
      </c>
      <c r="C34" s="59"/>
    </row>
    <row r="35" spans="1:3" x14ac:dyDescent="0.2">
      <c r="A35" s="58">
        <v>42552</v>
      </c>
      <c r="B35" s="59">
        <v>-5.6091748814735887</v>
      </c>
      <c r="C35" s="59"/>
    </row>
    <row r="36" spans="1:3" x14ac:dyDescent="0.2">
      <c r="A36" s="58">
        <v>42583</v>
      </c>
      <c r="B36" s="59">
        <v>-4.3279140096882944</v>
      </c>
      <c r="C36" s="59"/>
    </row>
    <row r="37" spans="1:3" x14ac:dyDescent="0.2">
      <c r="A37" s="58">
        <v>42614</v>
      </c>
      <c r="B37" s="59">
        <v>-3.3692210037903902</v>
      </c>
      <c r="C37" s="59"/>
    </row>
    <row r="38" spans="1:3" x14ac:dyDescent="0.2">
      <c r="A38" s="58">
        <v>42644</v>
      </c>
      <c r="B38" s="59">
        <v>-2.3895500424884641</v>
      </c>
      <c r="C38" s="59"/>
    </row>
    <row r="39" spans="1:3" x14ac:dyDescent="0.2">
      <c r="A39" s="58">
        <v>42675</v>
      </c>
      <c r="B39" s="59">
        <v>-0.63134560344521029</v>
      </c>
      <c r="C39" s="59"/>
    </row>
    <row r="40" spans="1:3" x14ac:dyDescent="0.2">
      <c r="A40" s="58">
        <v>42705</v>
      </c>
      <c r="B40" s="59">
        <v>1.2572151283063659</v>
      </c>
      <c r="C40" s="59"/>
    </row>
    <row r="41" spans="1:3" x14ac:dyDescent="0.2">
      <c r="A41" s="58">
        <v>42736</v>
      </c>
      <c r="B41" s="59">
        <v>1.9755682206725744</v>
      </c>
      <c r="C41" s="59"/>
    </row>
    <row r="42" spans="1:3" x14ac:dyDescent="0.2">
      <c r="A42" s="58">
        <v>42767</v>
      </c>
      <c r="B42" s="59">
        <v>3.1212430080345355</v>
      </c>
      <c r="C42" s="59"/>
    </row>
    <row r="43" spans="1:3" x14ac:dyDescent="0.2">
      <c r="A43" s="58">
        <v>42795</v>
      </c>
      <c r="B43" s="59">
        <v>6.3187948194007415</v>
      </c>
      <c r="C43" s="59"/>
    </row>
    <row r="44" spans="1:3" x14ac:dyDescent="0.2">
      <c r="A44" s="58">
        <v>42826</v>
      </c>
      <c r="B44" s="59">
        <v>4.8674261539749297</v>
      </c>
      <c r="C44" s="59"/>
    </row>
    <row r="45" spans="1:3" x14ac:dyDescent="0.2">
      <c r="A45" s="58">
        <v>42856</v>
      </c>
      <c r="B45" s="59">
        <v>9.6626046442741966</v>
      </c>
      <c r="C45" s="59"/>
    </row>
    <row r="46" spans="1:3" x14ac:dyDescent="0.2">
      <c r="A46" s="58">
        <v>42887</v>
      </c>
      <c r="B46" s="59">
        <v>7.8954156416878751</v>
      </c>
      <c r="C46" s="59"/>
    </row>
    <row r="47" spans="1:3" x14ac:dyDescent="0.2">
      <c r="A47" s="58">
        <v>42917</v>
      </c>
      <c r="B47" s="59">
        <v>6.5139173928792093</v>
      </c>
      <c r="C47" s="59"/>
    </row>
    <row r="48" spans="1:3" x14ac:dyDescent="0.2">
      <c r="A48" s="58">
        <v>42948</v>
      </c>
      <c r="B48" s="59">
        <v>5.2371769503945842</v>
      </c>
      <c r="C48" s="59"/>
    </row>
    <row r="49" spans="1:3" x14ac:dyDescent="0.2">
      <c r="A49" s="58">
        <v>42979</v>
      </c>
      <c r="B49" s="59">
        <v>6.0039875820447897</v>
      </c>
      <c r="C49" s="59"/>
    </row>
    <row r="50" spans="1:3" x14ac:dyDescent="0.2">
      <c r="A50" s="58">
        <v>43009</v>
      </c>
      <c r="B50" s="59">
        <v>6.1577713414847191</v>
      </c>
      <c r="C50" s="59"/>
    </row>
    <row r="51" spans="1:3" x14ac:dyDescent="0.2">
      <c r="A51" s="58">
        <v>43040</v>
      </c>
      <c r="B51" s="59">
        <v>4.5218178805598974</v>
      </c>
      <c r="C51" s="59"/>
    </row>
    <row r="52" spans="1:3" x14ac:dyDescent="0.2">
      <c r="A52" s="58">
        <v>43070</v>
      </c>
      <c r="B52" s="59">
        <v>4.1391957089565334</v>
      </c>
      <c r="C52" s="59"/>
    </row>
    <row r="53" spans="1:3" x14ac:dyDescent="0.2">
      <c r="A53" s="58">
        <v>43101</v>
      </c>
      <c r="B53" s="59">
        <v>4.5704260250001516</v>
      </c>
      <c r="C53" s="59"/>
    </row>
    <row r="54" spans="1:3" x14ac:dyDescent="0.2">
      <c r="A54" s="58">
        <v>43132</v>
      </c>
      <c r="B54" s="59">
        <v>3.1198675292512412</v>
      </c>
      <c r="C54" s="59"/>
    </row>
    <row r="55" spans="1:3" x14ac:dyDescent="0.2">
      <c r="A55" s="58">
        <v>43160</v>
      </c>
      <c r="B55" s="59">
        <v>2.2052013867420728</v>
      </c>
      <c r="C55" s="59"/>
    </row>
    <row r="56" spans="1:3" x14ac:dyDescent="0.2">
      <c r="A56" s="58">
        <v>43191</v>
      </c>
      <c r="B56" s="59">
        <v>2.0325589390338239</v>
      </c>
      <c r="C56" s="59"/>
    </row>
    <row r="57" spans="1:3" x14ac:dyDescent="0.2">
      <c r="A57" s="58">
        <v>43221</v>
      </c>
      <c r="B57" s="59">
        <v>3.2983726221978094</v>
      </c>
      <c r="C57" s="59"/>
    </row>
    <row r="58" spans="1:3" x14ac:dyDescent="0.2">
      <c r="A58" s="58">
        <v>43252</v>
      </c>
      <c r="B58" s="59">
        <v>2.5912764768860619</v>
      </c>
      <c r="C58" s="59"/>
    </row>
    <row r="59" spans="1:3" x14ac:dyDescent="0.2">
      <c r="A59" s="58">
        <v>43282</v>
      </c>
      <c r="B59" s="59">
        <v>2.6667411997441492</v>
      </c>
      <c r="C59" s="59"/>
    </row>
    <row r="60" spans="1:3" x14ac:dyDescent="0.2">
      <c r="A60" s="58">
        <v>43313</v>
      </c>
      <c r="B60" s="59">
        <v>4.1825446155003831</v>
      </c>
      <c r="C60" s="59"/>
    </row>
    <row r="61" spans="1:3" x14ac:dyDescent="0.2">
      <c r="A61" s="58">
        <v>43344</v>
      </c>
      <c r="B61" s="59">
        <v>1.4714771799656745</v>
      </c>
      <c r="C61" s="59"/>
    </row>
    <row r="62" spans="1:3" x14ac:dyDescent="0.2">
      <c r="A62" s="58">
        <v>43374</v>
      </c>
      <c r="B62" s="59">
        <v>1.2573319800392779</v>
      </c>
      <c r="C62" s="59"/>
    </row>
    <row r="63" spans="1:3" x14ac:dyDescent="0.2">
      <c r="A63" s="58">
        <v>43405</v>
      </c>
      <c r="B63" s="59">
        <v>1.5900193572062848</v>
      </c>
      <c r="C63" s="59"/>
    </row>
    <row r="64" spans="1:3" x14ac:dyDescent="0.2">
      <c r="A64" s="58">
        <v>43435</v>
      </c>
      <c r="B64" s="59">
        <v>-0.68298909265080976</v>
      </c>
      <c r="C64" s="59"/>
    </row>
    <row r="65" spans="1:3" x14ac:dyDescent="0.2">
      <c r="A65" s="58">
        <v>43466</v>
      </c>
      <c r="B65" s="59">
        <v>-0.72051669778481209</v>
      </c>
      <c r="C65" s="59"/>
    </row>
    <row r="66" spans="1:3" x14ac:dyDescent="0.2">
      <c r="A66" s="58">
        <v>43497</v>
      </c>
      <c r="B66" s="59">
        <v>-1.7551609200456175</v>
      </c>
      <c r="C66" s="59"/>
    </row>
    <row r="67" spans="1:3" x14ac:dyDescent="0.2">
      <c r="A67" s="58">
        <v>43525</v>
      </c>
      <c r="B67" s="59">
        <v>-0.89208896385217784</v>
      </c>
      <c r="C67" s="59"/>
    </row>
    <row r="68" spans="1:3" x14ac:dyDescent="0.2">
      <c r="A68" s="58">
        <v>43556</v>
      </c>
      <c r="B68" s="59">
        <v>2.0043780480835771</v>
      </c>
      <c r="C68" s="59"/>
    </row>
    <row r="69" spans="1:3" x14ac:dyDescent="0.2">
      <c r="A69" s="58">
        <v>43586</v>
      </c>
      <c r="B69" s="59">
        <v>-0.66924898225481089</v>
      </c>
      <c r="C69" s="59"/>
    </row>
    <row r="70" spans="1:3" x14ac:dyDescent="0.2">
      <c r="A70" s="58">
        <v>43617</v>
      </c>
      <c r="B70" s="59">
        <v>-0.17362001595849774</v>
      </c>
      <c r="C70" s="59"/>
    </row>
    <row r="71" spans="1:3" x14ac:dyDescent="0.2">
      <c r="A71" s="58">
        <v>43647</v>
      </c>
      <c r="B71" s="59">
        <v>-0.18252866461706541</v>
      </c>
      <c r="C71" s="59"/>
    </row>
    <row r="72" spans="1:3" x14ac:dyDescent="0.2">
      <c r="A72" s="58">
        <v>43678</v>
      </c>
      <c r="B72" s="59">
        <v>-1.3856312534228588</v>
      </c>
      <c r="C72" s="59"/>
    </row>
    <row r="73" spans="1:3" x14ac:dyDescent="0.2">
      <c r="A73" s="58">
        <v>43709</v>
      </c>
      <c r="B73" s="59">
        <v>0.20666265066062728</v>
      </c>
      <c r="C73" s="59"/>
    </row>
    <row r="74" spans="1:3" x14ac:dyDescent="0.2">
      <c r="A74" s="58">
        <v>43739</v>
      </c>
      <c r="B74" s="59">
        <v>-0.15019011554191497</v>
      </c>
      <c r="C74" s="59"/>
    </row>
    <row r="75" spans="1:3" x14ac:dyDescent="0.2">
      <c r="A75" s="58">
        <v>43770</v>
      </c>
      <c r="B75" s="59">
        <v>-2.0887430076703795</v>
      </c>
      <c r="C75" s="59"/>
    </row>
    <row r="76" spans="1:3" x14ac:dyDescent="0.2">
      <c r="A76" s="58">
        <v>43800</v>
      </c>
      <c r="B76" s="59">
        <v>1.1619437198268523</v>
      </c>
      <c r="C76" s="59"/>
    </row>
    <row r="77" spans="1:3" x14ac:dyDescent="0.2">
      <c r="A77" s="58">
        <v>43831</v>
      </c>
      <c r="B77" s="59">
        <v>0.27220750598122567</v>
      </c>
      <c r="C77" s="59"/>
    </row>
    <row r="78" spans="1:3" x14ac:dyDescent="0.2">
      <c r="A78" s="58">
        <v>43862</v>
      </c>
      <c r="B78" s="59">
        <v>2.0693391814822437</v>
      </c>
      <c r="C78" s="59"/>
    </row>
    <row r="79" spans="1:3" x14ac:dyDescent="0.2">
      <c r="A79" s="58">
        <v>43891</v>
      </c>
      <c r="B79" s="59">
        <v>-5.0540866075423629</v>
      </c>
      <c r="C79" s="59"/>
    </row>
    <row r="80" spans="1:3" x14ac:dyDescent="0.2">
      <c r="A80" s="58">
        <v>43922</v>
      </c>
      <c r="B80" s="59">
        <v>-15.202607018579517</v>
      </c>
      <c r="C80" s="59"/>
    </row>
    <row r="81" spans="1:3" x14ac:dyDescent="0.2">
      <c r="A81" s="58">
        <v>43952</v>
      </c>
      <c r="B81" s="59">
        <v>-13.618650335064707</v>
      </c>
      <c r="C81" s="59"/>
    </row>
    <row r="82" spans="1:3" x14ac:dyDescent="0.2">
      <c r="A82" s="58">
        <v>43983</v>
      </c>
      <c r="B82" s="59">
        <v>-10.016087604606383</v>
      </c>
      <c r="C82" s="59"/>
    </row>
    <row r="83" spans="1:3" x14ac:dyDescent="0.2">
      <c r="A83" s="58">
        <v>44013</v>
      </c>
      <c r="B83" s="59">
        <v>-6.3252162547792645</v>
      </c>
      <c r="C83" s="59"/>
    </row>
    <row r="84" spans="1:3" x14ac:dyDescent="0.2">
      <c r="A84" s="58">
        <v>44044</v>
      </c>
      <c r="B84" s="59">
        <v>-6.8196797563256029</v>
      </c>
      <c r="C84" s="59"/>
    </row>
    <row r="85" spans="1:3" x14ac:dyDescent="0.2">
      <c r="A85" s="58">
        <v>44075</v>
      </c>
      <c r="B85" s="59">
        <v>-4.0407164542721752</v>
      </c>
      <c r="C85" s="59"/>
    </row>
    <row r="86" spans="1:3" x14ac:dyDescent="0.2">
      <c r="A86" s="58">
        <v>44105</v>
      </c>
      <c r="B86" s="59">
        <v>-3.1319795704727094</v>
      </c>
      <c r="C86" s="59"/>
    </row>
    <row r="87" spans="1:3" x14ac:dyDescent="0.2">
      <c r="A87" s="58">
        <v>44136</v>
      </c>
      <c r="B87" s="59">
        <v>-1.2399186327423983</v>
      </c>
      <c r="C87" s="59"/>
    </row>
    <row r="88" spans="1:3" x14ac:dyDescent="0.2">
      <c r="A88" s="58">
        <v>44166</v>
      </c>
      <c r="B88" s="59">
        <v>-1.4706530320469757</v>
      </c>
      <c r="C88" s="59"/>
    </row>
    <row r="89" spans="1:3" x14ac:dyDescent="0.2">
      <c r="A89" s="58">
        <v>44197</v>
      </c>
      <c r="B89" s="59">
        <v>1.4188952140300026</v>
      </c>
      <c r="C89" s="59"/>
    </row>
    <row r="90" spans="1:3" x14ac:dyDescent="0.2">
      <c r="A90" s="58">
        <v>44228</v>
      </c>
      <c r="B90" s="59">
        <v>0.90085627213505326</v>
      </c>
      <c r="C90" s="59"/>
    </row>
    <row r="91" spans="1:3" x14ac:dyDescent="0.2">
      <c r="A91" s="58">
        <v>44256</v>
      </c>
      <c r="B91" s="59">
        <v>8.4157530169793446</v>
      </c>
      <c r="C91" s="59"/>
    </row>
    <row r="92" spans="1:3" x14ac:dyDescent="0.2">
      <c r="A92" s="58">
        <v>44287</v>
      </c>
      <c r="B92" s="59">
        <v>18.884432066690081</v>
      </c>
      <c r="C92" s="59"/>
    </row>
    <row r="93" spans="1:3" x14ac:dyDescent="0.2">
      <c r="A93" s="58">
        <v>44317</v>
      </c>
      <c r="B93" s="59">
        <v>16.384855143545263</v>
      </c>
      <c r="C93" s="59"/>
    </row>
    <row r="94" spans="1:3" x14ac:dyDescent="0.2">
      <c r="A94" s="58">
        <v>44348</v>
      </c>
      <c r="B94" s="59">
        <v>13.587507536090747</v>
      </c>
      <c r="C94" s="59"/>
    </row>
    <row r="95" spans="1:3" x14ac:dyDescent="0.2">
      <c r="A95" s="58">
        <v>44378</v>
      </c>
      <c r="B95" s="59">
        <v>8.8646108046777972</v>
      </c>
      <c r="C95" s="59"/>
    </row>
    <row r="96" spans="1:3" x14ac:dyDescent="0.2">
      <c r="A96" s="58">
        <v>44409</v>
      </c>
      <c r="B96" s="59">
        <v>9.5476665585468634</v>
      </c>
      <c r="C96" s="59"/>
    </row>
    <row r="97" spans="1:3" x14ac:dyDescent="0.2">
      <c r="A97" s="58">
        <v>44440</v>
      </c>
      <c r="B97" s="59">
        <v>6.7068683271739538</v>
      </c>
      <c r="C97" s="59"/>
    </row>
    <row r="98" spans="1:3" x14ac:dyDescent="0.2">
      <c r="A98" s="58">
        <v>44470</v>
      </c>
      <c r="B98" s="59">
        <v>7.439835528924621</v>
      </c>
      <c r="C98" s="59"/>
    </row>
    <row r="99" spans="1:3" x14ac:dyDescent="0.2">
      <c r="A99" s="58">
        <v>44501</v>
      </c>
      <c r="B99" s="59">
        <v>8.4369055131721105</v>
      </c>
      <c r="C99" s="59"/>
    </row>
    <row r="100" spans="1:3" x14ac:dyDescent="0.2">
      <c r="A100" s="62">
        <v>44531</v>
      </c>
      <c r="B100" s="59">
        <v>6.0483763086240261</v>
      </c>
      <c r="C100" s="59"/>
    </row>
    <row r="101" spans="1:3" x14ac:dyDescent="0.2">
      <c r="A101" s="62">
        <v>44562</v>
      </c>
      <c r="B101" s="22">
        <v>4.2680266966272917</v>
      </c>
      <c r="C101" s="59"/>
    </row>
    <row r="102" spans="1:3" x14ac:dyDescent="0.2">
      <c r="A102" s="62">
        <v>44593</v>
      </c>
      <c r="B102" s="22">
        <v>5.6587453104446794</v>
      </c>
      <c r="C102" s="59"/>
    </row>
    <row r="103" spans="1:3" x14ac:dyDescent="0.2">
      <c r="A103" s="62">
        <v>44621</v>
      </c>
      <c r="B103" s="22">
        <v>4.8742614045694799</v>
      </c>
      <c r="C103" s="59"/>
    </row>
    <row r="104" spans="1:3" x14ac:dyDescent="0.2">
      <c r="A104" s="62">
        <v>44652</v>
      </c>
      <c r="B104" s="22">
        <v>5.6879490431274826</v>
      </c>
      <c r="C104" s="59"/>
    </row>
    <row r="105" spans="1:3" x14ac:dyDescent="0.2">
      <c r="A105" s="62">
        <v>44682</v>
      </c>
      <c r="B105" s="22">
        <v>6.5559505573093535</v>
      </c>
      <c r="C105" s="59"/>
    </row>
    <row r="106" spans="1:3" x14ac:dyDescent="0.2">
      <c r="A106" s="62">
        <v>44713</v>
      </c>
      <c r="B106" s="22">
        <v>5.0027916192934896</v>
      </c>
      <c r="C106" s="59"/>
    </row>
    <row r="107" spans="1:3" x14ac:dyDescent="0.2">
      <c r="A107" s="62">
        <v>44743</v>
      </c>
      <c r="B107" s="22">
        <v>4.8451264203262845</v>
      </c>
      <c r="C107" s="59"/>
    </row>
    <row r="108" spans="1:3" x14ac:dyDescent="0.2">
      <c r="A108" s="62">
        <v>44774</v>
      </c>
      <c r="B108" s="22">
        <v>5.8607851709693293</v>
      </c>
      <c r="C108" s="59"/>
    </row>
    <row r="109" spans="1:3" x14ac:dyDescent="0.2">
      <c r="A109" s="62">
        <v>44805</v>
      </c>
      <c r="B109" s="22">
        <v>5.4536780082157232</v>
      </c>
      <c r="C109" s="59"/>
    </row>
    <row r="110" spans="1:3" x14ac:dyDescent="0.2">
      <c r="A110" s="62">
        <v>44835</v>
      </c>
      <c r="B110" s="22">
        <v>4.4378207237005141</v>
      </c>
      <c r="C110" s="59"/>
    </row>
    <row r="111" spans="1:3" x14ac:dyDescent="0.2">
      <c r="A111" s="62">
        <v>44866</v>
      </c>
      <c r="B111" s="22">
        <v>2.176674297347736</v>
      </c>
      <c r="C111" s="59"/>
    </row>
    <row r="112" spans="1:3" x14ac:dyDescent="0.2">
      <c r="A112" s="62">
        <v>44896</v>
      </c>
      <c r="B112" s="22">
        <v>2.4621108955456217</v>
      </c>
      <c r="C112" s="59"/>
    </row>
    <row r="113" spans="1:3" x14ac:dyDescent="0.2">
      <c r="A113" s="62">
        <v>44927</v>
      </c>
      <c r="B113" s="22">
        <v>4.8641571474685286</v>
      </c>
      <c r="C113" s="59"/>
    </row>
    <row r="114" spans="1:3" x14ac:dyDescent="0.2">
      <c r="A114" s="62">
        <v>44958</v>
      </c>
      <c r="B114" s="22">
        <v>2.4891842941624054</v>
      </c>
      <c r="C114" s="59"/>
    </row>
    <row r="115" spans="1:3" x14ac:dyDescent="0.2">
      <c r="A115" s="62">
        <v>44986</v>
      </c>
      <c r="B115" s="22">
        <v>1.7517160120482211</v>
      </c>
      <c r="C115" s="59"/>
    </row>
    <row r="116" spans="1:3" x14ac:dyDescent="0.2">
      <c r="A116" s="62">
        <v>45017</v>
      </c>
      <c r="B116" s="22">
        <v>-0.50454172201743752</v>
      </c>
      <c r="C116" s="59"/>
    </row>
    <row r="117" spans="1:3" x14ac:dyDescent="0.2">
      <c r="A117" s="62">
        <v>45047</v>
      </c>
      <c r="B117" s="22">
        <v>1.33127985737298</v>
      </c>
      <c r="C117" s="59"/>
    </row>
    <row r="118" spans="1:3" ht="12.6" customHeight="1" x14ac:dyDescent="0.2">
      <c r="A118" s="62">
        <v>45078</v>
      </c>
      <c r="B118" s="22">
        <v>-0.32049167203339612</v>
      </c>
      <c r="C118" s="59"/>
    </row>
    <row r="119" spans="1:3" ht="12.6" customHeight="1" x14ac:dyDescent="0.2">
      <c r="A119" s="62">
        <v>45108</v>
      </c>
      <c r="B119" s="22">
        <v>0.606472680944381</v>
      </c>
      <c r="C119" s="59"/>
    </row>
    <row r="120" spans="1:3" ht="12.6" customHeight="1" x14ac:dyDescent="0.2">
      <c r="A120" s="62">
        <v>45139</v>
      </c>
      <c r="B120" s="22">
        <v>0.72937804360806435</v>
      </c>
      <c r="C120" s="59"/>
    </row>
    <row r="121" spans="1:3" ht="12.6" customHeight="1" x14ac:dyDescent="0.2">
      <c r="A121" s="62">
        <v>45170</v>
      </c>
      <c r="B121" s="22">
        <v>1.281865126058368</v>
      </c>
      <c r="C121" s="59"/>
    </row>
    <row r="122" spans="1:3" ht="12.6" customHeight="1" x14ac:dyDescent="0.2">
      <c r="A122" s="62">
        <v>45200</v>
      </c>
      <c r="B122" s="22">
        <v>1.350906676141661</v>
      </c>
      <c r="C122" s="59"/>
    </row>
    <row r="123" spans="1:3" ht="12.6" customHeight="1" x14ac:dyDescent="0.2">
      <c r="A123" s="62">
        <v>45231</v>
      </c>
      <c r="B123" s="22">
        <v>2.1668829188871142</v>
      </c>
      <c r="C123" s="59"/>
    </row>
    <row r="124" spans="1:3" ht="12.6" customHeight="1" x14ac:dyDescent="0.2">
      <c r="A124" s="62">
        <v>45261</v>
      </c>
      <c r="B124" s="22">
        <v>2.9967796968820126</v>
      </c>
      <c r="C124" s="59"/>
    </row>
    <row r="125" spans="1:3" ht="12.6" customHeight="1" x14ac:dyDescent="0.2">
      <c r="A125" s="63">
        <v>45292</v>
      </c>
      <c r="B125" s="64">
        <v>-0.57710321851598412</v>
      </c>
      <c r="C125" s="59"/>
    </row>
    <row r="126" spans="1:3" ht="12.6" customHeight="1" x14ac:dyDescent="0.2">
      <c r="A126" s="63">
        <v>45323</v>
      </c>
      <c r="B126" s="64">
        <v>1.6188570369768618</v>
      </c>
      <c r="C126" s="59"/>
    </row>
    <row r="127" spans="1:3" ht="12.6" customHeight="1" x14ac:dyDescent="0.2">
      <c r="A127" s="63">
        <v>45352</v>
      </c>
      <c r="B127" s="64">
        <v>1.3315526950007373</v>
      </c>
      <c r="C127" s="59"/>
    </row>
    <row r="128" spans="1:3" x14ac:dyDescent="0.2">
      <c r="A128" s="63">
        <v>45383</v>
      </c>
      <c r="B128" s="64">
        <v>4.3242498124979267</v>
      </c>
    </row>
    <row r="129" spans="1:2" x14ac:dyDescent="0.2">
      <c r="A129" s="63">
        <v>45413</v>
      </c>
      <c r="B129" s="64">
        <v>1.7760023219247634</v>
      </c>
    </row>
    <row r="130" spans="1:2" x14ac:dyDescent="0.2">
      <c r="A130" s="63">
        <v>45444</v>
      </c>
      <c r="B130" s="64">
        <v>3.4058553232042543</v>
      </c>
    </row>
    <row r="131" spans="1:2" x14ac:dyDescent="0.2">
      <c r="A131" s="63">
        <v>45474</v>
      </c>
      <c r="B131" s="64">
        <v>4.0170898546876499</v>
      </c>
    </row>
    <row r="132" spans="1:2" x14ac:dyDescent="0.2">
      <c r="A132" s="63">
        <v>45505</v>
      </c>
      <c r="B132" s="22">
        <v>2.5730456058021378</v>
      </c>
    </row>
    <row r="133" spans="1:2" x14ac:dyDescent="0.2">
      <c r="A133" s="63">
        <v>45536</v>
      </c>
      <c r="B133" s="22">
        <v>1.7450507187739106</v>
      </c>
    </row>
    <row r="134" spans="1:2" x14ac:dyDescent="0.2">
      <c r="A134" s="63">
        <v>45566</v>
      </c>
      <c r="B134" s="22">
        <v>2.5705793801162891</v>
      </c>
    </row>
    <row r="135" spans="1:2" x14ac:dyDescent="0.2">
      <c r="A135" s="63">
        <v>45597</v>
      </c>
      <c r="B135" s="22">
        <v>2.1036431183823368</v>
      </c>
    </row>
    <row r="136" spans="1:2" x14ac:dyDescent="0.2">
      <c r="A136" s="63">
        <v>45627</v>
      </c>
      <c r="B136" s="22">
        <v>2.9367103004775297</v>
      </c>
    </row>
    <row r="137" spans="1:2" x14ac:dyDescent="0.2">
      <c r="A137" s="63">
        <v>45658</v>
      </c>
      <c r="B137" s="22">
        <v>4.3306303997146189</v>
      </c>
    </row>
    <row r="138" spans="1:2" x14ac:dyDescent="0.2">
      <c r="A138" s="63">
        <v>45689</v>
      </c>
      <c r="B138" s="22">
        <v>2.7854864664223822</v>
      </c>
    </row>
    <row r="139" spans="1:2" x14ac:dyDescent="0.2">
      <c r="A139" s="63">
        <v>45717</v>
      </c>
      <c r="B139" s="22">
        <v>3.5914167800380925</v>
      </c>
    </row>
    <row r="140" spans="1:2" x14ac:dyDescent="0.2">
      <c r="A140" s="63">
        <v>45748</v>
      </c>
      <c r="B140" s="22">
        <v>2.6778458827004581</v>
      </c>
    </row>
    <row r="141" spans="1:2" x14ac:dyDescent="0.2">
      <c r="A141" s="65">
        <v>45778</v>
      </c>
      <c r="B141" s="64">
        <v>1.9402344884150047</v>
      </c>
    </row>
    <row r="142" spans="1:2" x14ac:dyDescent="0.2">
      <c r="A142" s="65">
        <v>45809</v>
      </c>
      <c r="B142" s="64">
        <v>2.9089125971006657</v>
      </c>
    </row>
    <row r="143" spans="1:2" x14ac:dyDescent="0.2">
      <c r="A143" s="65">
        <v>45839</v>
      </c>
      <c r="B143" s="64">
        <v>1.7901365910852229</v>
      </c>
    </row>
    <row r="144" spans="1:2" x14ac:dyDescent="0.2">
      <c r="A144" s="65">
        <v>45870</v>
      </c>
      <c r="B144" s="64">
        <v>1.7751609006566582</v>
      </c>
    </row>
    <row r="145" spans="1:2" x14ac:dyDescent="0.2">
      <c r="A145" s="65">
        <v>45901</v>
      </c>
      <c r="B145" s="22">
        <v>3.4215484603504764</v>
      </c>
    </row>
    <row r="146" spans="1:2" x14ac:dyDescent="0.2">
      <c r="A146" s="65">
        <v>45931</v>
      </c>
      <c r="B146" s="22">
        <v>1.6882951718001804</v>
      </c>
    </row>
    <row r="147" spans="1:2" x14ac:dyDescent="0.2">
      <c r="A147" s="65">
        <v>45962</v>
      </c>
      <c r="B147" s="64">
        <v>2.6237390431863572</v>
      </c>
    </row>
    <row r="148" spans="1:2" x14ac:dyDescent="0.2">
      <c r="A148" s="65">
        <v>45992</v>
      </c>
      <c r="B148" s="64">
        <v>0.91842317840358234</v>
      </c>
    </row>
    <row r="149" spans="1:2" x14ac:dyDescent="0.2">
      <c r="A149" s="65">
        <v>46023</v>
      </c>
      <c r="B149" s="64">
        <v>1.2061718871997362</v>
      </c>
    </row>
    <row r="150" spans="1:2" x14ac:dyDescent="0.2">
      <c r="A150" s="65">
        <v>46054</v>
      </c>
      <c r="B150" s="22">
        <v>0.96289052647116069</v>
      </c>
    </row>
    <row r="151" spans="1:2" x14ac:dyDescent="0.2">
      <c r="A151" s="65">
        <v>46082</v>
      </c>
      <c r="B151" s="22">
        <v>1.5834991680894195</v>
      </c>
    </row>
    <row r="152" spans="1:2" x14ac:dyDescent="0.2">
      <c r="A152" s="65">
        <v>46113</v>
      </c>
      <c r="B152" s="116">
        <v>1.6968891528377439</v>
      </c>
    </row>
    <row r="153" spans="1:2" ht="15" x14ac:dyDescent="0.25">
      <c r="A153" s="65">
        <v>46143</v>
      </c>
      <c r="B153" s="151">
        <v>4.6098218987493222</v>
      </c>
    </row>
    <row r="154" spans="1:2" x14ac:dyDescent="0.2">
      <c r="A154" s="65">
        <v>46174</v>
      </c>
      <c r="B154" s="22">
        <v>4.7909708777775117</v>
      </c>
    </row>
    <row r="155" spans="1:2" x14ac:dyDescent="0.2">
      <c r="A155" s="65">
        <v>46204</v>
      </c>
      <c r="B155" s="22">
        <v>3.9830774329415952</v>
      </c>
    </row>
    <row r="156" spans="1:2" x14ac:dyDescent="0.2">
      <c r="A156" s="65"/>
      <c r="B156" s="22"/>
    </row>
    <row r="157" spans="1:2" x14ac:dyDescent="0.2">
      <c r="A157" s="65"/>
      <c r="B157" s="22"/>
    </row>
    <row r="158" spans="1:2" x14ac:dyDescent="0.2">
      <c r="A158" s="2" t="s">
        <v>76</v>
      </c>
    </row>
    <row r="159" spans="1:2" x14ac:dyDescent="0.2">
      <c r="A159" s="23" t="str">
        <f ca="1">Table!A$68</f>
        <v>Prepared by: Alberta Treasury Board and Finance, October 2, 2026</v>
      </c>
    </row>
  </sheetData>
  <hyperlinks>
    <hyperlink ref="C1" location="'Time Series'!A1" display="Back to main menu" xr:uid="{00000000-0004-0000-0300-000000000000}"/>
  </hyperlinks>
  <pageMargins left="0.7" right="0.7" top="0.75" bottom="0.75" header="0.3" footer="0.3"/>
  <pageSetup orientation="portrait" r:id="rId1"/>
  <headerFooter>
    <oddFooter>&amp;L&amp;1#&amp;"Calibri"&amp;11&amp;K000000Classification: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BACC6"/>
  </sheetPr>
  <dimension ref="A1:G16"/>
  <sheetViews>
    <sheetView zoomScale="120" zoomScaleNormal="120" workbookViewId="0">
      <selection activeCell="B5" sqref="B5"/>
    </sheetView>
  </sheetViews>
  <sheetFormatPr defaultColWidth="9.42578125" defaultRowHeight="12.75" x14ac:dyDescent="0.2"/>
  <cols>
    <col min="1" max="1" width="15.42578125" style="23" customWidth="1"/>
    <col min="2" max="2" width="32.42578125" style="90" customWidth="1"/>
    <col min="3" max="16384" width="9.42578125" style="23"/>
  </cols>
  <sheetData>
    <row r="1" spans="1:7" x14ac:dyDescent="0.2">
      <c r="A1" s="23" t="s">
        <v>45</v>
      </c>
      <c r="C1" s="32" t="s">
        <v>77</v>
      </c>
    </row>
    <row r="2" spans="1:7" x14ac:dyDescent="0.2">
      <c r="B2" s="25" t="s">
        <v>273</v>
      </c>
    </row>
    <row r="3" spans="1:7" s="24" customFormat="1" ht="25.5" x14ac:dyDescent="0.2">
      <c r="B3" s="25" t="s">
        <v>277</v>
      </c>
    </row>
    <row r="4" spans="1:7" x14ac:dyDescent="0.2">
      <c r="A4" s="66">
        <v>45962</v>
      </c>
      <c r="B4" s="91">
        <v>28</v>
      </c>
    </row>
    <row r="5" spans="1:7" x14ac:dyDescent="0.2">
      <c r="A5" s="66">
        <v>45992</v>
      </c>
      <c r="B5" s="91">
        <v>-15.900000000000091</v>
      </c>
    </row>
    <row r="6" spans="1:7" x14ac:dyDescent="0.2">
      <c r="A6" s="66">
        <v>46023</v>
      </c>
      <c r="B6" s="91">
        <v>20.300000000000182</v>
      </c>
    </row>
    <row r="7" spans="1:7" x14ac:dyDescent="0.2">
      <c r="A7" s="66">
        <v>46054</v>
      </c>
      <c r="B7" s="91">
        <v>-1.8000000000001819</v>
      </c>
    </row>
    <row r="8" spans="1:7" x14ac:dyDescent="0.2">
      <c r="A8" s="66">
        <v>46082</v>
      </c>
      <c r="B8" s="91">
        <v>6.4000000000000909</v>
      </c>
    </row>
    <row r="9" spans="1:7" x14ac:dyDescent="0.2">
      <c r="A9" s="66">
        <v>46113</v>
      </c>
      <c r="B9" s="91">
        <v>1</v>
      </c>
    </row>
    <row r="10" spans="1:7" x14ac:dyDescent="0.2">
      <c r="A10" s="66">
        <v>46143</v>
      </c>
      <c r="B10" s="35">
        <v>13.900000000000091</v>
      </c>
    </row>
    <row r="11" spans="1:7" x14ac:dyDescent="0.2">
      <c r="A11" s="66">
        <v>46174</v>
      </c>
      <c r="B11" s="91">
        <v>6.8000000000001819</v>
      </c>
    </row>
    <row r="12" spans="1:7" x14ac:dyDescent="0.2">
      <c r="A12" s="66">
        <v>46204</v>
      </c>
      <c r="B12" s="91">
        <v>-7.3000000000001819</v>
      </c>
    </row>
    <row r="13" spans="1:7" ht="13.35" customHeight="1" x14ac:dyDescent="0.2">
      <c r="A13" s="66">
        <v>46235</v>
      </c>
      <c r="B13" s="91">
        <v>-8.9000000000000909</v>
      </c>
      <c r="G13" s="89"/>
    </row>
    <row r="14" spans="1:7" ht="13.35" customHeight="1" x14ac:dyDescent="0.2"/>
    <row r="15" spans="1:7" ht="13.35" customHeight="1" x14ac:dyDescent="0.2">
      <c r="A15" s="67" t="s">
        <v>12</v>
      </c>
      <c r="B15" s="91"/>
    </row>
    <row r="16" spans="1:7" x14ac:dyDescent="0.2">
      <c r="A16" s="23" t="str">
        <f ca="1">Table!A$68</f>
        <v>Prepared by: Alberta Treasury Board and Finance, October 2, 2026</v>
      </c>
    </row>
  </sheetData>
  <hyperlinks>
    <hyperlink ref="C1" location="'Time Series'!A1" display="Back to main menu" xr:uid="{00000000-0004-0000-0400-000000000000}"/>
  </hyperlinks>
  <pageMargins left="0.75" right="0.75" top="1" bottom="1" header="0.5" footer="0.5"/>
  <pageSetup orientation="portrait" horizontalDpi="1200" verticalDpi="1200" r:id="rId1"/>
  <headerFooter alignWithMargins="0">
    <oddHeader>&amp;LPDF named: chrt_ 03_lm.pdf&amp;RAlberta Economy Indicators at a Glance
Indicators - page 1-2</oddHeader>
    <oddFooter>&amp;R&amp;8&amp;D: &amp;T
&amp;L&amp;"Calibri"&amp;11&amp;K000000&amp;"Calibri"&amp;11&amp;K000000&amp;8&amp;Z: 
&amp;F: &amp;A_x000D_&amp;1#&amp;"Calibri"&amp;11&amp;K000000Classification: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BACC6"/>
  </sheetPr>
  <dimension ref="A1:I76"/>
  <sheetViews>
    <sheetView topLeftCell="A48" zoomScale="120" zoomScaleNormal="120" workbookViewId="0">
      <selection activeCell="C80" sqref="C80"/>
    </sheetView>
  </sheetViews>
  <sheetFormatPr defaultColWidth="9.42578125" defaultRowHeight="12.75" x14ac:dyDescent="0.2"/>
  <cols>
    <col min="1" max="1" width="16.42578125" style="68" customWidth="1"/>
    <col min="2" max="2" width="22.7109375" style="23" customWidth="1"/>
    <col min="3" max="3" width="25.28515625" style="23" customWidth="1"/>
    <col min="4" max="16384" width="9.42578125" style="23"/>
  </cols>
  <sheetData>
    <row r="1" spans="1:4" x14ac:dyDescent="0.2">
      <c r="A1" s="23" t="s">
        <v>90</v>
      </c>
      <c r="C1" s="32" t="s">
        <v>77</v>
      </c>
    </row>
    <row r="3" spans="1:4" s="24" customFormat="1" x14ac:dyDescent="0.2">
      <c r="B3" s="25" t="s">
        <v>273</v>
      </c>
      <c r="C3" s="25" t="s">
        <v>272</v>
      </c>
    </row>
    <row r="4" spans="1:4" s="24" customFormat="1" ht="25.5" x14ac:dyDescent="0.2">
      <c r="B4" s="25" t="s">
        <v>276</v>
      </c>
      <c r="C4" s="25" t="s">
        <v>274</v>
      </c>
    </row>
    <row r="5" spans="1:4" x14ac:dyDescent="0.2">
      <c r="A5" s="67">
        <v>44196</v>
      </c>
      <c r="B5" s="35">
        <v>2172.1999999999998</v>
      </c>
      <c r="C5" s="35">
        <v>10.7</v>
      </c>
      <c r="D5" s="28"/>
    </row>
    <row r="6" spans="1:4" x14ac:dyDescent="0.2">
      <c r="A6" s="67">
        <v>44227</v>
      </c>
      <c r="B6" s="35">
        <v>2186.9</v>
      </c>
      <c r="C6" s="35">
        <v>10.3</v>
      </c>
      <c r="D6" s="28"/>
    </row>
    <row r="7" spans="1:4" x14ac:dyDescent="0.2">
      <c r="A7" s="67">
        <v>44255</v>
      </c>
      <c r="B7" s="35">
        <v>2206.3000000000002</v>
      </c>
      <c r="C7" s="35">
        <v>9.9</v>
      </c>
      <c r="D7" s="28"/>
    </row>
    <row r="8" spans="1:4" x14ac:dyDescent="0.2">
      <c r="A8" s="67">
        <v>44286</v>
      </c>
      <c r="B8" s="35">
        <v>2240.4</v>
      </c>
      <c r="C8" s="35">
        <v>9.1999999999999993</v>
      </c>
      <c r="D8" s="28"/>
    </row>
    <row r="9" spans="1:4" x14ac:dyDescent="0.2">
      <c r="A9" s="67">
        <v>44316</v>
      </c>
      <c r="B9" s="35">
        <v>2222.6999999999998</v>
      </c>
      <c r="C9" s="35">
        <v>8.8000000000000007</v>
      </c>
      <c r="D9" s="28"/>
    </row>
    <row r="10" spans="1:4" x14ac:dyDescent="0.2">
      <c r="A10" s="67">
        <v>44347</v>
      </c>
      <c r="B10" s="35">
        <v>2218.5</v>
      </c>
      <c r="C10" s="35">
        <v>8.5</v>
      </c>
      <c r="D10" s="28"/>
    </row>
    <row r="11" spans="1:4" x14ac:dyDescent="0.2">
      <c r="A11" s="67">
        <v>44377</v>
      </c>
      <c r="B11" s="35">
        <v>2230.6</v>
      </c>
      <c r="C11" s="35">
        <v>8.8000000000000007</v>
      </c>
      <c r="D11" s="28"/>
    </row>
    <row r="12" spans="1:4" x14ac:dyDescent="0.2">
      <c r="A12" s="67">
        <v>44408</v>
      </c>
      <c r="B12" s="35">
        <v>2235</v>
      </c>
      <c r="C12" s="35">
        <v>8.4</v>
      </c>
      <c r="D12" s="28"/>
    </row>
    <row r="13" spans="1:4" x14ac:dyDescent="0.2">
      <c r="A13" s="67">
        <v>44439</v>
      </c>
      <c r="B13" s="35">
        <v>2257.8000000000002</v>
      </c>
      <c r="C13" s="35">
        <v>8</v>
      </c>
      <c r="D13" s="28"/>
    </row>
    <row r="14" spans="1:4" x14ac:dyDescent="0.2">
      <c r="A14" s="67">
        <v>44469</v>
      </c>
      <c r="B14" s="35">
        <v>2293.8000000000002</v>
      </c>
      <c r="C14" s="35">
        <v>7.8</v>
      </c>
      <c r="D14" s="28"/>
    </row>
    <row r="15" spans="1:4" x14ac:dyDescent="0.2">
      <c r="A15" s="67">
        <v>44500</v>
      </c>
      <c r="B15" s="35">
        <v>2274.3000000000002</v>
      </c>
      <c r="C15" s="35">
        <v>7.8</v>
      </c>
      <c r="D15" s="28"/>
    </row>
    <row r="16" spans="1:4" x14ac:dyDescent="0.2">
      <c r="A16" s="67">
        <v>44530</v>
      </c>
      <c r="B16" s="35">
        <v>2289.3000000000002</v>
      </c>
      <c r="C16" s="35">
        <v>7.4</v>
      </c>
      <c r="D16" s="28"/>
    </row>
    <row r="17" spans="1:4" x14ac:dyDescent="0.2">
      <c r="A17" s="67">
        <v>44561</v>
      </c>
      <c r="B17" s="35">
        <v>2313.9</v>
      </c>
      <c r="C17" s="35">
        <v>6.9</v>
      </c>
      <c r="D17" s="28"/>
    </row>
    <row r="18" spans="1:4" x14ac:dyDescent="0.2">
      <c r="A18" s="67">
        <v>44592</v>
      </c>
      <c r="B18" s="35">
        <v>2309.3000000000002</v>
      </c>
      <c r="C18" s="35">
        <v>6.9</v>
      </c>
      <c r="D18" s="28"/>
    </row>
    <row r="19" spans="1:4" x14ac:dyDescent="0.2">
      <c r="A19" s="67">
        <v>44620</v>
      </c>
      <c r="B19" s="35">
        <v>2331.8000000000002</v>
      </c>
      <c r="C19" s="35">
        <v>6.6</v>
      </c>
    </row>
    <row r="20" spans="1:4" x14ac:dyDescent="0.2">
      <c r="A20" s="67">
        <v>44651</v>
      </c>
      <c r="B20" s="35">
        <v>2329</v>
      </c>
      <c r="C20" s="35">
        <v>6.3</v>
      </c>
    </row>
    <row r="21" spans="1:4" x14ac:dyDescent="0.2">
      <c r="A21" s="67">
        <v>44681</v>
      </c>
      <c r="B21" s="35">
        <v>2342.3000000000002</v>
      </c>
      <c r="C21" s="35">
        <v>6.1</v>
      </c>
    </row>
    <row r="22" spans="1:4" x14ac:dyDescent="0.2">
      <c r="A22" s="67">
        <v>44712</v>
      </c>
      <c r="B22" s="35">
        <v>2359.3000000000002</v>
      </c>
      <c r="C22" s="35">
        <v>5.9</v>
      </c>
    </row>
    <row r="23" spans="1:4" x14ac:dyDescent="0.2">
      <c r="A23" s="67">
        <v>44742</v>
      </c>
      <c r="B23" s="35">
        <v>2370</v>
      </c>
      <c r="C23" s="35">
        <v>5.2</v>
      </c>
    </row>
    <row r="24" spans="1:4" x14ac:dyDescent="0.2">
      <c r="A24" s="67">
        <v>44773</v>
      </c>
      <c r="B24" s="35">
        <v>2366.6999999999998</v>
      </c>
      <c r="C24" s="35">
        <v>4.9000000000000004</v>
      </c>
    </row>
    <row r="25" spans="1:4" x14ac:dyDescent="0.2">
      <c r="A25" s="67">
        <v>44804</v>
      </c>
      <c r="B25" s="35">
        <v>2367.1</v>
      </c>
      <c r="C25" s="35">
        <v>5.6</v>
      </c>
    </row>
    <row r="26" spans="1:4" x14ac:dyDescent="0.2">
      <c r="A26" s="67">
        <v>44834</v>
      </c>
      <c r="B26" s="35">
        <v>2374.6999999999998</v>
      </c>
      <c r="C26" s="35">
        <v>5.4</v>
      </c>
    </row>
    <row r="27" spans="1:4" x14ac:dyDescent="0.2">
      <c r="A27" s="67">
        <v>44865</v>
      </c>
      <c r="B27" s="35">
        <v>2375</v>
      </c>
      <c r="C27" s="35">
        <v>5.5</v>
      </c>
    </row>
    <row r="28" spans="1:4" x14ac:dyDescent="0.2">
      <c r="A28" s="67">
        <v>44895</v>
      </c>
      <c r="B28" s="35">
        <v>2382</v>
      </c>
      <c r="C28" s="35">
        <v>5.7</v>
      </c>
    </row>
    <row r="29" spans="1:4" x14ac:dyDescent="0.2">
      <c r="A29" s="67">
        <v>44926</v>
      </c>
      <c r="B29" s="35">
        <v>2393.1</v>
      </c>
      <c r="C29" s="35">
        <v>5.7</v>
      </c>
    </row>
    <row r="30" spans="1:4" x14ac:dyDescent="0.2">
      <c r="A30" s="67">
        <v>44957</v>
      </c>
      <c r="B30" s="35">
        <v>2407.6</v>
      </c>
      <c r="C30" s="35">
        <v>6.1</v>
      </c>
    </row>
    <row r="31" spans="1:4" x14ac:dyDescent="0.2">
      <c r="A31" s="67">
        <v>44985</v>
      </c>
      <c r="B31" s="35">
        <v>2408.1</v>
      </c>
      <c r="C31" s="35">
        <v>6.1</v>
      </c>
    </row>
    <row r="32" spans="1:4" x14ac:dyDescent="0.2">
      <c r="A32" s="67">
        <v>45016</v>
      </c>
      <c r="B32" s="35">
        <v>2424.9</v>
      </c>
      <c r="C32" s="35">
        <v>5.9</v>
      </c>
    </row>
    <row r="33" spans="1:9" x14ac:dyDescent="0.2">
      <c r="A33" s="67">
        <v>45046</v>
      </c>
      <c r="B33" s="35">
        <v>2424.4</v>
      </c>
      <c r="C33" s="35">
        <v>5.9</v>
      </c>
    </row>
    <row r="34" spans="1:9" x14ac:dyDescent="0.2">
      <c r="A34" s="67">
        <v>45077</v>
      </c>
      <c r="B34" s="35">
        <v>2435.6</v>
      </c>
      <c r="C34" s="35">
        <v>5.7</v>
      </c>
    </row>
    <row r="35" spans="1:9" x14ac:dyDescent="0.2">
      <c r="A35" s="67">
        <v>45107</v>
      </c>
      <c r="B35" s="35">
        <v>2438.5</v>
      </c>
      <c r="C35" s="35">
        <v>5.9</v>
      </c>
    </row>
    <row r="36" spans="1:9" x14ac:dyDescent="0.2">
      <c r="A36" s="67">
        <v>45138</v>
      </c>
      <c r="B36" s="35">
        <v>2454.8000000000002</v>
      </c>
      <c r="C36" s="35">
        <v>5.9</v>
      </c>
    </row>
    <row r="37" spans="1:9" x14ac:dyDescent="0.2">
      <c r="A37" s="67">
        <v>45169</v>
      </c>
      <c r="B37" s="35">
        <v>2465.1</v>
      </c>
      <c r="C37" s="35">
        <v>5.5</v>
      </c>
    </row>
    <row r="38" spans="1:9" x14ac:dyDescent="0.2">
      <c r="A38" s="67">
        <v>45199</v>
      </c>
      <c r="B38" s="35">
        <v>2452.4</v>
      </c>
      <c r="C38" s="35">
        <v>5.3</v>
      </c>
    </row>
    <row r="39" spans="1:9" x14ac:dyDescent="0.2">
      <c r="A39" s="67">
        <v>45230</v>
      </c>
      <c r="B39" s="35">
        <v>2475</v>
      </c>
      <c r="C39" s="35">
        <v>5.8</v>
      </c>
    </row>
    <row r="40" spans="1:9" x14ac:dyDescent="0.2">
      <c r="A40" s="67">
        <v>45260</v>
      </c>
      <c r="B40" s="35">
        <v>2479.5</v>
      </c>
      <c r="C40" s="35">
        <v>6</v>
      </c>
    </row>
    <row r="41" spans="1:9" x14ac:dyDescent="0.2">
      <c r="A41" s="67">
        <v>45291</v>
      </c>
      <c r="B41" s="35">
        <v>2480.9</v>
      </c>
      <c r="C41" s="35">
        <v>6.5</v>
      </c>
    </row>
    <row r="42" spans="1:9" x14ac:dyDescent="0.2">
      <c r="A42" s="67">
        <v>45322</v>
      </c>
      <c r="B42" s="35">
        <v>2488.1</v>
      </c>
      <c r="C42" s="35">
        <v>6.4</v>
      </c>
      <c r="I42" s="35"/>
    </row>
    <row r="43" spans="1:9" x14ac:dyDescent="0.2">
      <c r="A43" s="67">
        <v>45351</v>
      </c>
      <c r="B43" s="35">
        <v>2503.4</v>
      </c>
      <c r="C43" s="35">
        <v>6.3</v>
      </c>
      <c r="I43" s="35"/>
    </row>
    <row r="44" spans="1:9" x14ac:dyDescent="0.2">
      <c r="A44" s="67">
        <v>45382</v>
      </c>
      <c r="B44" s="35">
        <v>2507.1999999999998</v>
      </c>
      <c r="C44" s="35">
        <v>6.5</v>
      </c>
      <c r="I44" s="35"/>
    </row>
    <row r="45" spans="1:9" x14ac:dyDescent="0.2">
      <c r="A45" s="67">
        <v>45412</v>
      </c>
      <c r="B45" s="35">
        <v>2512.6</v>
      </c>
      <c r="C45" s="35">
        <v>7.4</v>
      </c>
      <c r="I45" s="35"/>
    </row>
    <row r="46" spans="1:9" x14ac:dyDescent="0.2">
      <c r="A46" s="67">
        <v>45443</v>
      </c>
      <c r="B46" s="35">
        <v>2500.6999999999998</v>
      </c>
      <c r="C46" s="35">
        <v>7.2</v>
      </c>
      <c r="I46" s="35"/>
    </row>
    <row r="47" spans="1:9" x14ac:dyDescent="0.2">
      <c r="A47" s="67">
        <v>45473</v>
      </c>
      <c r="B47" s="35">
        <v>2511.3000000000002</v>
      </c>
      <c r="C47" s="35">
        <v>7.2</v>
      </c>
      <c r="I47" s="35"/>
    </row>
    <row r="48" spans="1:9" x14ac:dyDescent="0.2">
      <c r="A48" s="67">
        <v>45504</v>
      </c>
      <c r="B48" s="35">
        <v>2516.8000000000002</v>
      </c>
      <c r="C48" s="35">
        <v>7.1</v>
      </c>
      <c r="I48" s="35"/>
    </row>
    <row r="49" spans="1:9" x14ac:dyDescent="0.2">
      <c r="A49" s="67">
        <v>45535</v>
      </c>
      <c r="B49" s="35">
        <v>2522.5</v>
      </c>
      <c r="C49" s="35">
        <v>7.3</v>
      </c>
      <c r="I49" s="35"/>
    </row>
    <row r="50" spans="1:9" x14ac:dyDescent="0.2">
      <c r="A50" s="67">
        <v>45565</v>
      </c>
      <c r="B50" s="35">
        <v>2517</v>
      </c>
      <c r="C50" s="35">
        <v>7.4</v>
      </c>
      <c r="I50" s="35"/>
    </row>
    <row r="51" spans="1:9" x14ac:dyDescent="0.2">
      <c r="A51" s="67">
        <v>45596</v>
      </c>
      <c r="B51" s="35">
        <v>2522.4</v>
      </c>
      <c r="C51" s="35">
        <v>7.4</v>
      </c>
      <c r="I51" s="35"/>
    </row>
    <row r="52" spans="1:9" x14ac:dyDescent="0.2">
      <c r="A52" s="67">
        <v>45626</v>
      </c>
      <c r="B52" s="35">
        <v>2538.6</v>
      </c>
      <c r="C52" s="35">
        <v>7.6</v>
      </c>
      <c r="I52" s="35"/>
    </row>
    <row r="53" spans="1:9" x14ac:dyDescent="0.2">
      <c r="A53" s="67">
        <v>45657</v>
      </c>
      <c r="B53" s="35">
        <v>2568.9</v>
      </c>
      <c r="C53" s="35">
        <v>6.8</v>
      </c>
      <c r="I53" s="35"/>
    </row>
    <row r="54" spans="1:9" x14ac:dyDescent="0.2">
      <c r="A54" s="67">
        <v>45688</v>
      </c>
      <c r="B54" s="35">
        <v>2564.6</v>
      </c>
      <c r="C54" s="35">
        <v>6.8</v>
      </c>
      <c r="I54" s="35"/>
    </row>
    <row r="55" spans="1:9" x14ac:dyDescent="0.2">
      <c r="A55" s="67">
        <v>45716</v>
      </c>
      <c r="B55" s="35">
        <v>2564.1999999999998</v>
      </c>
      <c r="C55" s="35">
        <v>6.8</v>
      </c>
      <c r="I55" s="35"/>
    </row>
    <row r="56" spans="1:9" x14ac:dyDescent="0.2">
      <c r="A56" s="67">
        <v>45747</v>
      </c>
      <c r="B56" s="35">
        <v>2554.6</v>
      </c>
      <c r="C56" s="35">
        <v>7.2</v>
      </c>
      <c r="I56" s="35"/>
    </row>
    <row r="57" spans="1:9" x14ac:dyDescent="0.2">
      <c r="A57" s="67">
        <v>45777</v>
      </c>
      <c r="B57" s="35">
        <v>2567.5</v>
      </c>
      <c r="C57" s="35">
        <v>7.2</v>
      </c>
      <c r="I57" s="35"/>
    </row>
    <row r="58" spans="1:9" x14ac:dyDescent="0.2">
      <c r="A58" s="67">
        <v>45808</v>
      </c>
      <c r="B58" s="35">
        <v>2566.1</v>
      </c>
      <c r="C58" s="35">
        <v>7.4</v>
      </c>
      <c r="I58" s="35"/>
    </row>
    <row r="59" spans="1:9" x14ac:dyDescent="0.2">
      <c r="A59" s="67">
        <v>45838</v>
      </c>
      <c r="B59" s="35">
        <v>2598.8000000000002</v>
      </c>
      <c r="C59" s="35">
        <v>6.8</v>
      </c>
      <c r="I59" s="35"/>
    </row>
    <row r="60" spans="1:9" x14ac:dyDescent="0.2">
      <c r="A60" s="67">
        <v>45869</v>
      </c>
      <c r="B60" s="35">
        <v>2579</v>
      </c>
      <c r="C60" s="35">
        <v>7.9</v>
      </c>
      <c r="I60" s="35"/>
    </row>
    <row r="61" spans="1:9" x14ac:dyDescent="0.2">
      <c r="A61" s="67">
        <v>45900</v>
      </c>
      <c r="B61" s="35">
        <v>2568.6999999999998</v>
      </c>
      <c r="C61" s="35">
        <v>8.1999999999999993</v>
      </c>
      <c r="I61" s="35"/>
    </row>
    <row r="62" spans="1:9" x14ac:dyDescent="0.2">
      <c r="A62" s="67">
        <v>45930</v>
      </c>
      <c r="B62" s="35">
        <v>2608.5</v>
      </c>
      <c r="C62" s="35">
        <v>7.7</v>
      </c>
      <c r="I62" s="35"/>
    </row>
    <row r="63" spans="1:9" x14ac:dyDescent="0.2">
      <c r="A63" s="67">
        <v>45961</v>
      </c>
      <c r="B63" s="35">
        <v>2618.6</v>
      </c>
      <c r="C63" s="35">
        <v>7.6</v>
      </c>
      <c r="I63" s="35"/>
    </row>
    <row r="64" spans="1:9" x14ac:dyDescent="0.2">
      <c r="A64" s="67">
        <v>45991</v>
      </c>
      <c r="B64" s="35">
        <v>2646.6</v>
      </c>
      <c r="C64" s="35">
        <v>6.5</v>
      </c>
      <c r="I64" s="35"/>
    </row>
    <row r="65" spans="1:9" x14ac:dyDescent="0.2">
      <c r="A65" s="67">
        <v>46022</v>
      </c>
      <c r="B65" s="35">
        <v>2630.7</v>
      </c>
      <c r="C65" s="35">
        <v>6.7</v>
      </c>
      <c r="I65" s="35"/>
    </row>
    <row r="66" spans="1:9" x14ac:dyDescent="0.2">
      <c r="A66" s="67">
        <v>46053</v>
      </c>
      <c r="B66" s="35">
        <v>2651</v>
      </c>
      <c r="C66" s="35">
        <v>6.4</v>
      </c>
      <c r="I66" s="35"/>
    </row>
    <row r="67" spans="1:9" x14ac:dyDescent="0.2">
      <c r="A67" s="67">
        <v>46081</v>
      </c>
      <c r="B67" s="35">
        <v>2649.2</v>
      </c>
      <c r="C67" s="35">
        <v>6.3</v>
      </c>
      <c r="I67" s="35"/>
    </row>
    <row r="68" spans="1:9" x14ac:dyDescent="0.2">
      <c r="A68" s="67">
        <v>46112</v>
      </c>
      <c r="B68" s="35">
        <v>2655.6</v>
      </c>
      <c r="C68" s="35">
        <v>6.5</v>
      </c>
      <c r="I68" s="35"/>
    </row>
    <row r="69" spans="1:9" x14ac:dyDescent="0.2">
      <c r="A69" s="67">
        <v>46142</v>
      </c>
      <c r="B69" s="35">
        <v>2656.6</v>
      </c>
      <c r="C69" s="35">
        <v>7</v>
      </c>
      <c r="I69" s="35"/>
    </row>
    <row r="70" spans="1:9" x14ac:dyDescent="0.2">
      <c r="A70" s="68">
        <v>46173</v>
      </c>
      <c r="B70" s="35">
        <v>2670.5</v>
      </c>
      <c r="C70" s="35">
        <v>6.6</v>
      </c>
    </row>
    <row r="71" spans="1:9" x14ac:dyDescent="0.2">
      <c r="A71" s="68">
        <v>46203</v>
      </c>
      <c r="B71" s="23">
        <v>2677.3</v>
      </c>
      <c r="C71" s="35">
        <v>7</v>
      </c>
    </row>
    <row r="72" spans="1:9" x14ac:dyDescent="0.2">
      <c r="A72" s="68">
        <v>46204</v>
      </c>
      <c r="B72" s="35">
        <v>2670</v>
      </c>
      <c r="C72" s="35">
        <v>7</v>
      </c>
    </row>
    <row r="73" spans="1:9" x14ac:dyDescent="0.2">
      <c r="A73" s="68">
        <v>46235</v>
      </c>
      <c r="B73" s="23">
        <v>2661.1</v>
      </c>
      <c r="C73" s="23">
        <v>6.8</v>
      </c>
    </row>
    <row r="75" spans="1:9" x14ac:dyDescent="0.2">
      <c r="A75" s="2" t="s">
        <v>12</v>
      </c>
    </row>
    <row r="76" spans="1:9" x14ac:dyDescent="0.2">
      <c r="A76" s="68" t="str">
        <f ca="1">Table!A68</f>
        <v>Prepared by: Alberta Treasury Board and Finance, October 2, 2026</v>
      </c>
    </row>
  </sheetData>
  <hyperlinks>
    <hyperlink ref="C1" location="'Time Series'!A1" display="Back to main menu" xr:uid="{00000000-0004-0000-0500-000000000000}"/>
  </hyperlinks>
  <pageMargins left="0.75" right="0.75" top="1" bottom="1" header="0.5" footer="0.5"/>
  <pageSetup orientation="portrait" horizontalDpi="1200" verticalDpi="1200" r:id="rId1"/>
  <headerFooter alignWithMargins="0">
    <oddHeader>&amp;LPDF named: chrt_ 03_lm.pdf&amp;RAlberta Economy Indicators at a Glance
Indicators - page 1-2</oddHeader>
    <oddFooter>&amp;R&amp;8&amp;D: &amp;T
&amp;L&amp;"Calibri"&amp;11&amp;K000000&amp;"Calibri"&amp;11&amp;K000000&amp;8&amp;Z: 
&amp;F: &amp;A_x000D_&amp;1#&amp;"Calibri"&amp;11&amp;K000000Classification: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BACC6"/>
  </sheetPr>
  <dimension ref="A1:F36"/>
  <sheetViews>
    <sheetView topLeftCell="A7" zoomScale="120" zoomScaleNormal="120" workbookViewId="0">
      <selection activeCell="A33" sqref="A33"/>
    </sheetView>
  </sheetViews>
  <sheetFormatPr defaultColWidth="9.42578125" defaultRowHeight="12.75" x14ac:dyDescent="0.2"/>
  <cols>
    <col min="1" max="1" width="14.5703125" style="23" customWidth="1"/>
    <col min="2" max="2" width="23.5703125" style="23" customWidth="1"/>
    <col min="3" max="3" width="22.28515625" style="23" customWidth="1"/>
    <col min="4" max="4" width="9.42578125" style="23" customWidth="1"/>
    <col min="5" max="16384" width="9.42578125" style="23"/>
  </cols>
  <sheetData>
    <row r="1" spans="1:6" x14ac:dyDescent="0.2">
      <c r="A1" s="23" t="s">
        <v>44</v>
      </c>
      <c r="C1" s="32" t="s">
        <v>77</v>
      </c>
    </row>
    <row r="3" spans="1:6" s="24" customFormat="1" ht="15.75" customHeight="1" x14ac:dyDescent="0.2">
      <c r="B3" s="25" t="s">
        <v>265</v>
      </c>
      <c r="C3" s="25" t="s">
        <v>267</v>
      </c>
    </row>
    <row r="4" spans="1:6" s="24" customFormat="1" ht="44.25" customHeight="1" x14ac:dyDescent="0.2">
      <c r="B4" s="25" t="s">
        <v>264</v>
      </c>
      <c r="C4" s="25" t="s">
        <v>275</v>
      </c>
    </row>
    <row r="5" spans="1:6" x14ac:dyDescent="0.2">
      <c r="A5" s="67">
        <v>45412</v>
      </c>
      <c r="B5" s="35">
        <v>16.448356746843285</v>
      </c>
      <c r="C5" s="35">
        <v>4.2069015273261012</v>
      </c>
      <c r="D5" s="26"/>
      <c r="E5" s="69"/>
      <c r="F5" s="69"/>
    </row>
    <row r="6" spans="1:6" x14ac:dyDescent="0.2">
      <c r="A6" s="67">
        <v>45443</v>
      </c>
      <c r="B6" s="35">
        <v>7.9493831263240944</v>
      </c>
      <c r="C6" s="35">
        <v>1.1262579329869293</v>
      </c>
      <c r="D6" s="26"/>
      <c r="E6" s="69"/>
      <c r="F6" s="69"/>
    </row>
    <row r="7" spans="1:6" x14ac:dyDescent="0.2">
      <c r="A7" s="67">
        <v>45473</v>
      </c>
      <c r="B7" s="35">
        <v>21.721343033934183</v>
      </c>
      <c r="C7" s="35">
        <v>7.5533311478084952</v>
      </c>
      <c r="D7" s="26"/>
      <c r="E7" s="69"/>
      <c r="F7" s="69"/>
    </row>
    <row r="8" spans="1:6" x14ac:dyDescent="0.2">
      <c r="A8" s="67">
        <v>45504</v>
      </c>
      <c r="B8" s="35">
        <v>29.776683373719727</v>
      </c>
      <c r="C8" s="35">
        <v>6.825568665745485</v>
      </c>
      <c r="D8" s="26"/>
      <c r="E8" s="69"/>
      <c r="F8" s="69"/>
    </row>
    <row r="9" spans="1:6" x14ac:dyDescent="0.2">
      <c r="A9" s="67">
        <v>45535</v>
      </c>
      <c r="B9" s="35">
        <v>-1.7724339053285521</v>
      </c>
      <c r="C9" s="35">
        <v>-4.1997867357750689</v>
      </c>
      <c r="D9" s="26"/>
      <c r="E9" s="69"/>
      <c r="F9" s="69"/>
    </row>
    <row r="10" spans="1:6" x14ac:dyDescent="0.2">
      <c r="A10" s="67">
        <v>45565</v>
      </c>
      <c r="B10" s="35">
        <v>2.3002054888376033</v>
      </c>
      <c r="C10" s="35">
        <v>-8.9955509103166307</v>
      </c>
      <c r="D10" s="26"/>
      <c r="E10" s="69"/>
      <c r="F10" s="69"/>
    </row>
    <row r="11" spans="1:6" x14ac:dyDescent="0.2">
      <c r="A11" s="67">
        <v>45596</v>
      </c>
      <c r="B11" s="35">
        <v>7.6332147693314312E-2</v>
      </c>
      <c r="C11" s="35">
        <v>1.7734683634743176</v>
      </c>
      <c r="D11" s="26"/>
      <c r="E11" s="69"/>
      <c r="F11" s="69"/>
    </row>
    <row r="12" spans="1:6" x14ac:dyDescent="0.2">
      <c r="A12" s="67">
        <v>45626</v>
      </c>
      <c r="B12" s="35">
        <v>-13.344679675719707</v>
      </c>
      <c r="C12" s="35">
        <v>-0.4988882835782138</v>
      </c>
      <c r="D12" s="26"/>
      <c r="E12" s="69"/>
      <c r="F12" s="69"/>
    </row>
    <row r="13" spans="1:6" x14ac:dyDescent="0.2">
      <c r="A13" s="67">
        <v>45657</v>
      </c>
      <c r="B13" s="35">
        <v>16.318226484027587</v>
      </c>
      <c r="C13" s="35">
        <v>1.0523740189580355</v>
      </c>
      <c r="D13" s="26"/>
      <c r="E13" s="69"/>
      <c r="F13" s="69"/>
    </row>
    <row r="14" spans="1:6" x14ac:dyDescent="0.2">
      <c r="A14" s="67">
        <v>45688</v>
      </c>
      <c r="B14" s="35">
        <v>20.090608941329723</v>
      </c>
      <c r="C14" s="35">
        <v>8.0734041875560223</v>
      </c>
      <c r="D14" s="26"/>
      <c r="E14" s="69"/>
      <c r="F14" s="69"/>
    </row>
    <row r="15" spans="1:6" x14ac:dyDescent="0.2">
      <c r="A15" s="67">
        <v>45716</v>
      </c>
      <c r="B15" s="35">
        <v>21.016778559769822</v>
      </c>
      <c r="C15" s="35">
        <v>-2.7347441874896017</v>
      </c>
      <c r="D15" s="26"/>
      <c r="E15" s="69"/>
      <c r="F15" s="69"/>
    </row>
    <row r="16" spans="1:6" x14ac:dyDescent="0.2">
      <c r="A16" s="67">
        <v>45747</v>
      </c>
      <c r="B16" s="35">
        <v>14.993685551601278</v>
      </c>
      <c r="C16" s="35">
        <v>-1.0722218576561859</v>
      </c>
      <c r="D16" s="26"/>
      <c r="E16" s="69"/>
      <c r="F16" s="69"/>
    </row>
    <row r="17" spans="1:6" x14ac:dyDescent="0.2">
      <c r="A17" s="67">
        <v>45777</v>
      </c>
      <c r="B17" s="35">
        <v>-7.3482337660613295</v>
      </c>
      <c r="C17" s="35">
        <v>-2.4048831263985049</v>
      </c>
      <c r="D17" s="26"/>
      <c r="E17" s="69"/>
      <c r="F17" s="69"/>
    </row>
    <row r="18" spans="1:6" x14ac:dyDescent="0.2">
      <c r="A18" s="67">
        <v>45808</v>
      </c>
      <c r="B18" s="35">
        <v>-12.191616556010509</v>
      </c>
      <c r="C18" s="35">
        <v>-8.7184825347517698</v>
      </c>
      <c r="D18" s="26"/>
      <c r="E18" s="69"/>
      <c r="F18" s="69"/>
    </row>
    <row r="19" spans="1:6" x14ac:dyDescent="0.2">
      <c r="A19" s="67">
        <v>45838</v>
      </c>
      <c r="B19" s="35">
        <v>-15.775276420885653</v>
      </c>
      <c r="C19" s="35">
        <v>-7.1984765196759675</v>
      </c>
      <c r="D19" s="26"/>
      <c r="E19" s="69"/>
      <c r="F19" s="69"/>
    </row>
    <row r="20" spans="1:6" x14ac:dyDescent="0.2">
      <c r="A20" s="67">
        <v>45869</v>
      </c>
      <c r="B20" s="35">
        <v>-15.980510533186665</v>
      </c>
      <c r="C20" s="35">
        <v>-4.3338622073201165</v>
      </c>
      <c r="D20" s="26"/>
      <c r="E20" s="69"/>
      <c r="F20" s="69"/>
    </row>
    <row r="21" spans="1:6" x14ac:dyDescent="0.2">
      <c r="A21" s="67">
        <v>45900</v>
      </c>
      <c r="B21" s="35">
        <v>-7.5062066564795966</v>
      </c>
      <c r="C21" s="35">
        <v>-0.73712548886034623</v>
      </c>
      <c r="D21" s="26"/>
      <c r="E21" s="69"/>
      <c r="F21" s="69"/>
    </row>
    <row r="22" spans="1:6" x14ac:dyDescent="0.2">
      <c r="A22" s="67">
        <v>45930</v>
      </c>
      <c r="B22" s="35">
        <v>-5.8368821957001433</v>
      </c>
      <c r="C22" s="35">
        <v>7.615760888063372</v>
      </c>
      <c r="D22" s="26"/>
      <c r="E22" s="69"/>
      <c r="F22" s="69"/>
    </row>
    <row r="23" spans="1:6" x14ac:dyDescent="0.2">
      <c r="A23" s="67">
        <v>45961</v>
      </c>
      <c r="B23" s="35">
        <v>-7.2946424815259148</v>
      </c>
      <c r="C23" s="35">
        <v>-9.9087383714868693E-2</v>
      </c>
      <c r="D23" s="26"/>
      <c r="E23" s="69"/>
    </row>
    <row r="24" spans="1:6" x14ac:dyDescent="0.2">
      <c r="A24" s="67">
        <v>45991</v>
      </c>
      <c r="B24" s="35">
        <v>-2.918156347000056</v>
      </c>
      <c r="C24" s="35">
        <v>-0.22395551244052125</v>
      </c>
      <c r="D24" s="26"/>
      <c r="E24" s="69"/>
    </row>
    <row r="25" spans="1:6" x14ac:dyDescent="0.2">
      <c r="A25" s="67">
        <v>46022</v>
      </c>
      <c r="B25" s="35">
        <v>-5.6464778803902105</v>
      </c>
      <c r="C25" s="35">
        <v>-0.33944250959887512</v>
      </c>
      <c r="D25" s="26"/>
      <c r="E25" s="69"/>
    </row>
    <row r="26" spans="1:6" x14ac:dyDescent="0.2">
      <c r="A26" s="67">
        <v>46053</v>
      </c>
      <c r="B26" s="35">
        <v>-16.412721125948615</v>
      </c>
      <c r="C26" s="35">
        <v>-2.7278009964332495</v>
      </c>
      <c r="D26" s="26"/>
      <c r="E26" s="69"/>
    </row>
    <row r="27" spans="1:6" x14ac:dyDescent="0.2">
      <c r="A27" s="67">
        <v>46081</v>
      </c>
      <c r="B27" s="35">
        <v>-17.437921365124797</v>
      </c>
      <c r="C27" s="35">
        <v>-1.1104469731179512</v>
      </c>
      <c r="D27" s="26"/>
      <c r="E27" s="69"/>
    </row>
    <row r="28" spans="1:6" x14ac:dyDescent="0.2">
      <c r="A28" s="67">
        <v>46112</v>
      </c>
      <c r="B28" s="35">
        <v>-3.1481686649140861</v>
      </c>
      <c r="C28" s="35">
        <v>6.5378329973124982</v>
      </c>
      <c r="D28" s="26"/>
      <c r="E28" s="69"/>
    </row>
    <row r="29" spans="1:6" x14ac:dyDescent="0.2">
      <c r="A29" s="67">
        <v>46142</v>
      </c>
      <c r="B29" s="35">
        <v>22.649624614736187</v>
      </c>
      <c r="C29" s="35">
        <v>22.69942058511354</v>
      </c>
      <c r="D29" s="27"/>
      <c r="E29" s="69"/>
      <c r="F29" s="69"/>
    </row>
    <row r="30" spans="1:6" x14ac:dyDescent="0.2">
      <c r="A30" s="67">
        <v>46173</v>
      </c>
      <c r="B30" s="35">
        <v>32.491622098100834</v>
      </c>
      <c r="C30" s="35">
        <v>31.406485757857162</v>
      </c>
      <c r="D30" s="27"/>
      <c r="E30" s="69"/>
      <c r="F30" s="69"/>
    </row>
    <row r="31" spans="1:6" x14ac:dyDescent="0.2">
      <c r="A31" s="67">
        <v>46174</v>
      </c>
      <c r="B31" s="35">
        <v>46.118131212387013</v>
      </c>
      <c r="C31" s="35">
        <v>31.965370043795271</v>
      </c>
      <c r="D31" s="112"/>
      <c r="E31" s="69"/>
      <c r="F31" s="69"/>
    </row>
    <row r="32" spans="1:6" x14ac:dyDescent="0.2">
      <c r="A32" s="67">
        <v>46205</v>
      </c>
      <c r="B32" s="35">
        <v>26.348249346172949</v>
      </c>
      <c r="C32" s="35">
        <v>23.99997193821557</v>
      </c>
      <c r="D32" s="27"/>
      <c r="E32" s="69"/>
      <c r="F32" s="69"/>
    </row>
    <row r="33" spans="1:6" x14ac:dyDescent="0.2">
      <c r="A33" s="67"/>
      <c r="B33" s="35"/>
      <c r="D33" s="27"/>
      <c r="E33" s="69"/>
      <c r="F33" s="69"/>
    </row>
    <row r="34" spans="1:6" x14ac:dyDescent="0.2">
      <c r="D34" s="28"/>
    </row>
    <row r="35" spans="1:6" x14ac:dyDescent="0.2">
      <c r="A35" s="2" t="s">
        <v>12</v>
      </c>
    </row>
    <row r="36" spans="1:6" x14ac:dyDescent="0.2">
      <c r="A36" s="44" t="str">
        <f ca="1">Table!A68</f>
        <v>Prepared by: Alberta Treasury Board and Finance, October 2, 2026</v>
      </c>
    </row>
  </sheetData>
  <hyperlinks>
    <hyperlink ref="C1" location="'Time Series'!A1" display="Back to main menu" xr:uid="{00000000-0004-0000-0600-000000000000}"/>
  </hyperlinks>
  <pageMargins left="0.75" right="0.75" top="1" bottom="1" header="0.5" footer="0.5"/>
  <pageSetup orientation="portrait" r:id="rId1"/>
  <headerFooter alignWithMargins="0">
    <oddHeader>&amp;LPDF named: chrt_ 04_iae.pdf&amp;RAlberta Economy Indicators at a Glance
Indicators - page 1-2</oddHeader>
    <oddFooter>&amp;R&amp;D: &amp;T
&amp;L&amp;"Calibri"&amp;11&amp;K000000&amp;"Calibri"&amp;11&amp;K000000&amp;Z: &amp;F: &amp;A_x000D_&amp;1#&amp;"Calibri"&amp;11&amp;K000000Classification: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X110"/>
  <sheetViews>
    <sheetView topLeftCell="A87" zoomScale="120" zoomScaleNormal="120" workbookViewId="0">
      <selection activeCell="G106" sqref="G106"/>
    </sheetView>
  </sheetViews>
  <sheetFormatPr defaultColWidth="9.42578125" defaultRowHeight="12.75" x14ac:dyDescent="0.2"/>
  <cols>
    <col min="1" max="2" width="14.5703125" style="23" customWidth="1"/>
    <col min="3" max="16384" width="9.42578125" style="23"/>
  </cols>
  <sheetData>
    <row r="1" spans="1:3" x14ac:dyDescent="0.2">
      <c r="A1" s="23" t="s">
        <v>30</v>
      </c>
      <c r="C1" s="32" t="s">
        <v>77</v>
      </c>
    </row>
    <row r="3" spans="1:3" s="24" customFormat="1" ht="38.25" x14ac:dyDescent="0.2">
      <c r="B3" s="25" t="s">
        <v>271</v>
      </c>
    </row>
    <row r="4" spans="1:3" s="24" customFormat="1" x14ac:dyDescent="0.2">
      <c r="A4" s="68">
        <v>43101</v>
      </c>
      <c r="B4" s="30">
        <v>197.4</v>
      </c>
    </row>
    <row r="5" spans="1:3" s="24" customFormat="1" x14ac:dyDescent="0.2">
      <c r="A5" s="68">
        <v>43132</v>
      </c>
      <c r="B5" s="30">
        <v>211.33333333333334</v>
      </c>
    </row>
    <row r="6" spans="1:3" s="24" customFormat="1" x14ac:dyDescent="0.2">
      <c r="A6" s="68">
        <v>43160</v>
      </c>
      <c r="B6" s="30">
        <v>142.25</v>
      </c>
    </row>
    <row r="7" spans="1:3" s="24" customFormat="1" x14ac:dyDescent="0.2">
      <c r="A7" s="68">
        <v>43191</v>
      </c>
      <c r="B7" s="30">
        <v>80</v>
      </c>
    </row>
    <row r="8" spans="1:3" s="24" customFormat="1" x14ac:dyDescent="0.2">
      <c r="A8" s="68">
        <v>43221</v>
      </c>
      <c r="B8" s="30">
        <v>67</v>
      </c>
    </row>
    <row r="9" spans="1:3" x14ac:dyDescent="0.2">
      <c r="A9" s="68">
        <v>43252</v>
      </c>
      <c r="B9" s="30">
        <v>105.75</v>
      </c>
    </row>
    <row r="10" spans="1:3" x14ac:dyDescent="0.2">
      <c r="A10" s="68">
        <v>43282</v>
      </c>
      <c r="B10" s="30">
        <v>142.6</v>
      </c>
    </row>
    <row r="11" spans="1:3" x14ac:dyDescent="0.2">
      <c r="A11" s="68">
        <v>43313</v>
      </c>
      <c r="B11" s="30">
        <v>146.75</v>
      </c>
    </row>
    <row r="12" spans="1:3" x14ac:dyDescent="0.2">
      <c r="A12" s="68">
        <v>43344</v>
      </c>
      <c r="B12" s="30">
        <v>133.5</v>
      </c>
    </row>
    <row r="13" spans="1:3" x14ac:dyDescent="0.2">
      <c r="A13" s="68">
        <v>43374</v>
      </c>
      <c r="B13" s="30">
        <v>138</v>
      </c>
    </row>
    <row r="14" spans="1:3" x14ac:dyDescent="0.2">
      <c r="A14" s="68">
        <v>43405</v>
      </c>
      <c r="B14" s="30">
        <v>133.75</v>
      </c>
    </row>
    <row r="15" spans="1:3" x14ac:dyDescent="0.2">
      <c r="A15" s="68">
        <v>43435</v>
      </c>
      <c r="B15" s="30">
        <v>98.4</v>
      </c>
    </row>
    <row r="16" spans="1:3" x14ac:dyDescent="0.2">
      <c r="A16" s="68">
        <v>43466</v>
      </c>
      <c r="B16" s="30">
        <v>145.5</v>
      </c>
    </row>
    <row r="17" spans="1:2" x14ac:dyDescent="0.2">
      <c r="A17" s="68">
        <v>43497</v>
      </c>
      <c r="B17" s="30">
        <v>143.5</v>
      </c>
    </row>
    <row r="18" spans="1:2" x14ac:dyDescent="0.2">
      <c r="A18" s="68">
        <v>43525</v>
      </c>
      <c r="B18" s="30">
        <v>91.25</v>
      </c>
    </row>
    <row r="19" spans="1:2" x14ac:dyDescent="0.2">
      <c r="A19" s="68">
        <v>43556</v>
      </c>
      <c r="B19" s="30">
        <v>51</v>
      </c>
    </row>
    <row r="20" spans="1:2" x14ac:dyDescent="0.2">
      <c r="A20" s="68">
        <v>43586</v>
      </c>
      <c r="B20" s="30">
        <v>55.25</v>
      </c>
    </row>
    <row r="21" spans="1:2" x14ac:dyDescent="0.2">
      <c r="A21" s="68">
        <v>43617</v>
      </c>
      <c r="B21" s="30">
        <v>60.75</v>
      </c>
    </row>
    <row r="22" spans="1:2" x14ac:dyDescent="0.2">
      <c r="A22" s="68">
        <v>43647</v>
      </c>
      <c r="B22" s="30">
        <v>86</v>
      </c>
    </row>
    <row r="23" spans="1:2" x14ac:dyDescent="0.2">
      <c r="A23" s="68">
        <v>43678</v>
      </c>
      <c r="B23" s="30">
        <v>96.5</v>
      </c>
    </row>
    <row r="24" spans="1:2" x14ac:dyDescent="0.2">
      <c r="A24" s="68">
        <v>43709</v>
      </c>
      <c r="B24" s="30">
        <v>92.2</v>
      </c>
    </row>
    <row r="25" spans="1:2" x14ac:dyDescent="0.2">
      <c r="A25" s="68">
        <v>43739</v>
      </c>
      <c r="B25" s="30">
        <v>95.5</v>
      </c>
    </row>
    <row r="26" spans="1:2" x14ac:dyDescent="0.2">
      <c r="A26" s="68">
        <v>43770</v>
      </c>
      <c r="B26" s="30">
        <v>95.75</v>
      </c>
    </row>
    <row r="27" spans="1:2" x14ac:dyDescent="0.2">
      <c r="A27" s="68">
        <v>43800</v>
      </c>
      <c r="B27" s="30">
        <v>95.6</v>
      </c>
    </row>
    <row r="28" spans="1:2" x14ac:dyDescent="0.2">
      <c r="A28" s="68">
        <v>43831</v>
      </c>
      <c r="B28" s="30">
        <v>169.5</v>
      </c>
    </row>
    <row r="29" spans="1:2" x14ac:dyDescent="0.2">
      <c r="A29" s="68">
        <v>43862</v>
      </c>
      <c r="B29" s="30">
        <v>160</v>
      </c>
    </row>
    <row r="30" spans="1:2" x14ac:dyDescent="0.2">
      <c r="A30" s="68">
        <v>43891</v>
      </c>
      <c r="B30" s="30">
        <v>75.8</v>
      </c>
    </row>
    <row r="31" spans="1:2" x14ac:dyDescent="0.2">
      <c r="A31" s="68">
        <v>43922</v>
      </c>
      <c r="B31" s="30">
        <v>17.25</v>
      </c>
    </row>
    <row r="32" spans="1:2" x14ac:dyDescent="0.2">
      <c r="A32" s="68">
        <v>43952</v>
      </c>
      <c r="B32" s="30">
        <v>9.25</v>
      </c>
    </row>
    <row r="33" spans="1:2" x14ac:dyDescent="0.2">
      <c r="A33" s="68">
        <v>43983</v>
      </c>
      <c r="B33" s="30">
        <v>11.2</v>
      </c>
    </row>
    <row r="34" spans="1:2" x14ac:dyDescent="0.2">
      <c r="A34" s="68">
        <v>44013</v>
      </c>
      <c r="B34" s="30">
        <v>26.5</v>
      </c>
    </row>
    <row r="35" spans="1:2" x14ac:dyDescent="0.2">
      <c r="A35" s="68">
        <v>44044</v>
      </c>
      <c r="B35" s="30">
        <v>32</v>
      </c>
    </row>
    <row r="36" spans="1:2" x14ac:dyDescent="0.2">
      <c r="A36" s="68">
        <v>44075</v>
      </c>
      <c r="B36" s="30">
        <v>40.75</v>
      </c>
    </row>
    <row r="37" spans="1:2" x14ac:dyDescent="0.2">
      <c r="A37" s="68">
        <v>44105</v>
      </c>
      <c r="B37" s="30">
        <v>49</v>
      </c>
    </row>
    <row r="38" spans="1:2" x14ac:dyDescent="0.2">
      <c r="A38" s="68">
        <v>44136</v>
      </c>
      <c r="B38" s="30">
        <v>60.4</v>
      </c>
    </row>
    <row r="39" spans="1:2" x14ac:dyDescent="0.2">
      <c r="A39" s="68">
        <v>44166</v>
      </c>
      <c r="B39" s="30">
        <v>65.5</v>
      </c>
    </row>
    <row r="40" spans="1:2" x14ac:dyDescent="0.2">
      <c r="A40" s="68">
        <v>44197</v>
      </c>
      <c r="B40" s="30">
        <v>119.25</v>
      </c>
    </row>
    <row r="41" spans="1:2" x14ac:dyDescent="0.2">
      <c r="A41" s="68">
        <v>44228</v>
      </c>
      <c r="B41" s="36">
        <v>112</v>
      </c>
    </row>
    <row r="42" spans="1:2" x14ac:dyDescent="0.2">
      <c r="A42" s="68">
        <v>44256</v>
      </c>
      <c r="B42" s="36">
        <v>73.400000000000006</v>
      </c>
    </row>
    <row r="43" spans="1:2" x14ac:dyDescent="0.2">
      <c r="A43" s="68">
        <v>44287</v>
      </c>
      <c r="B43" s="36">
        <v>41.75</v>
      </c>
    </row>
    <row r="44" spans="1:2" x14ac:dyDescent="0.2">
      <c r="A44" s="68">
        <v>44317</v>
      </c>
      <c r="B44" s="36">
        <v>43.2</v>
      </c>
    </row>
    <row r="45" spans="1:2" x14ac:dyDescent="0.2">
      <c r="A45" s="68">
        <v>44348</v>
      </c>
      <c r="B45" s="36">
        <v>79.75</v>
      </c>
    </row>
    <row r="46" spans="1:2" x14ac:dyDescent="0.2">
      <c r="A46" s="68">
        <v>44378</v>
      </c>
      <c r="B46" s="36">
        <v>99.5</v>
      </c>
    </row>
    <row r="47" spans="1:2" x14ac:dyDescent="0.2">
      <c r="A47" s="68">
        <v>44409</v>
      </c>
      <c r="B47" s="36">
        <v>112.2</v>
      </c>
    </row>
    <row r="48" spans="1:2" x14ac:dyDescent="0.2">
      <c r="A48" s="68">
        <v>44440</v>
      </c>
      <c r="B48" s="36">
        <v>120.5</v>
      </c>
    </row>
    <row r="49" spans="1:2" x14ac:dyDescent="0.2">
      <c r="A49" s="68">
        <v>44470</v>
      </c>
      <c r="B49" s="36">
        <v>124</v>
      </c>
    </row>
    <row r="50" spans="1:2" x14ac:dyDescent="0.2">
      <c r="A50" s="68">
        <v>44501</v>
      </c>
      <c r="B50" s="36">
        <v>130.6</v>
      </c>
    </row>
    <row r="51" spans="1:2" x14ac:dyDescent="0.2">
      <c r="A51" s="68">
        <v>44531</v>
      </c>
      <c r="B51" s="36">
        <v>117.5</v>
      </c>
    </row>
    <row r="52" spans="1:2" x14ac:dyDescent="0.2">
      <c r="A52" s="68">
        <v>44562</v>
      </c>
      <c r="B52" s="36">
        <v>171.8</v>
      </c>
    </row>
    <row r="53" spans="1:2" x14ac:dyDescent="0.2">
      <c r="A53" s="68">
        <v>44593</v>
      </c>
      <c r="B53" s="37">
        <v>177.75</v>
      </c>
    </row>
    <row r="54" spans="1:2" x14ac:dyDescent="0.2">
      <c r="A54" s="68">
        <v>44621</v>
      </c>
      <c r="B54" s="37">
        <v>142</v>
      </c>
    </row>
    <row r="55" spans="1:2" x14ac:dyDescent="0.2">
      <c r="A55" s="68">
        <v>44652</v>
      </c>
      <c r="B55" s="37">
        <v>97.5</v>
      </c>
    </row>
    <row r="56" spans="1:2" x14ac:dyDescent="0.2">
      <c r="A56" s="68">
        <v>44682</v>
      </c>
      <c r="B56" s="37">
        <v>88.4</v>
      </c>
    </row>
    <row r="57" spans="1:2" x14ac:dyDescent="0.2">
      <c r="A57" s="68">
        <v>44713</v>
      </c>
      <c r="B57" s="70">
        <v>125.75</v>
      </c>
    </row>
    <row r="58" spans="1:2" x14ac:dyDescent="0.2">
      <c r="A58" s="68">
        <v>44743</v>
      </c>
      <c r="B58" s="37">
        <v>146</v>
      </c>
    </row>
    <row r="59" spans="1:2" x14ac:dyDescent="0.2">
      <c r="A59" s="68">
        <v>44774</v>
      </c>
      <c r="B59" s="37">
        <v>154.6</v>
      </c>
    </row>
    <row r="60" spans="1:2" x14ac:dyDescent="0.2">
      <c r="A60" s="68">
        <v>44805</v>
      </c>
      <c r="B60" s="37">
        <v>155.25</v>
      </c>
    </row>
    <row r="61" spans="1:2" x14ac:dyDescent="0.2">
      <c r="A61" s="68">
        <v>44835</v>
      </c>
      <c r="B61" s="37">
        <v>155.6</v>
      </c>
    </row>
    <row r="62" spans="1:2" x14ac:dyDescent="0.2">
      <c r="A62" s="68">
        <v>44866</v>
      </c>
      <c r="B62" s="37">
        <v>164.5</v>
      </c>
    </row>
    <row r="63" spans="1:2" x14ac:dyDescent="0.2">
      <c r="A63" s="68">
        <v>44896</v>
      </c>
      <c r="B63" s="37">
        <v>145.5</v>
      </c>
    </row>
    <row r="64" spans="1:2" x14ac:dyDescent="0.2">
      <c r="A64" s="68">
        <v>44927</v>
      </c>
      <c r="B64" s="70">
        <v>193.2</v>
      </c>
    </row>
    <row r="65" spans="1:24" x14ac:dyDescent="0.2">
      <c r="A65" s="68">
        <v>44958</v>
      </c>
      <c r="B65" s="30">
        <v>191.25</v>
      </c>
    </row>
    <row r="66" spans="1:24" x14ac:dyDescent="0.2">
      <c r="A66" s="68">
        <v>44986</v>
      </c>
      <c r="B66" s="37">
        <v>153.5</v>
      </c>
    </row>
    <row r="67" spans="1:24" x14ac:dyDescent="0.2">
      <c r="A67" s="68">
        <v>45017</v>
      </c>
      <c r="B67" s="37">
        <v>91.5</v>
      </c>
    </row>
    <row r="68" spans="1:24" x14ac:dyDescent="0.2">
      <c r="A68" s="68">
        <v>45047</v>
      </c>
      <c r="B68" s="70">
        <v>78.400000000000006</v>
      </c>
    </row>
    <row r="69" spans="1:24" x14ac:dyDescent="0.2">
      <c r="A69" s="68">
        <v>45078</v>
      </c>
      <c r="B69" s="37">
        <v>118.5</v>
      </c>
    </row>
    <row r="70" spans="1:24" x14ac:dyDescent="0.2">
      <c r="A70" s="68">
        <v>45108</v>
      </c>
      <c r="B70" s="70">
        <v>135</v>
      </c>
    </row>
    <row r="71" spans="1:24" x14ac:dyDescent="0.2">
      <c r="A71" s="68">
        <v>45139</v>
      </c>
      <c r="B71" s="37">
        <v>138.75</v>
      </c>
    </row>
    <row r="72" spans="1:24" x14ac:dyDescent="0.2">
      <c r="A72" s="68">
        <v>45199</v>
      </c>
      <c r="B72" s="37">
        <v>138.75</v>
      </c>
    </row>
    <row r="73" spans="1:24" x14ac:dyDescent="0.2">
      <c r="A73" s="68">
        <v>45230</v>
      </c>
      <c r="B73" s="37">
        <v>147.4</v>
      </c>
      <c r="F73" s="71"/>
      <c r="G73" s="71"/>
      <c r="H73" s="71"/>
      <c r="I73" s="71"/>
      <c r="J73" s="71"/>
      <c r="K73" s="71"/>
      <c r="L73" s="71"/>
      <c r="M73" s="71"/>
      <c r="N73" s="71"/>
      <c r="O73" s="71"/>
      <c r="P73" s="71"/>
      <c r="Q73" s="71"/>
      <c r="R73" s="71"/>
      <c r="S73" s="71"/>
      <c r="T73" s="71"/>
      <c r="U73" s="71"/>
      <c r="V73" s="71"/>
      <c r="W73" s="71"/>
      <c r="X73" s="71"/>
    </row>
    <row r="74" spans="1:24" x14ac:dyDescent="0.2">
      <c r="A74" s="68">
        <v>45260</v>
      </c>
      <c r="B74" s="37">
        <v>148.75</v>
      </c>
    </row>
    <row r="75" spans="1:24" x14ac:dyDescent="0.2">
      <c r="A75" s="68">
        <v>45290</v>
      </c>
      <c r="B75" s="37">
        <v>119.75</v>
      </c>
    </row>
    <row r="76" spans="1:24" x14ac:dyDescent="0.2">
      <c r="A76" s="68">
        <v>45321</v>
      </c>
      <c r="B76" s="37">
        <v>174.2</v>
      </c>
    </row>
    <row r="77" spans="1:24" x14ac:dyDescent="0.2">
      <c r="A77" s="68">
        <v>45323</v>
      </c>
      <c r="B77" s="37">
        <v>177.25</v>
      </c>
    </row>
    <row r="78" spans="1:24" x14ac:dyDescent="0.2">
      <c r="A78" s="68">
        <v>45375</v>
      </c>
      <c r="B78" s="37">
        <v>145.25</v>
      </c>
    </row>
    <row r="79" spans="1:24" x14ac:dyDescent="0.2">
      <c r="A79" s="68">
        <v>45412</v>
      </c>
      <c r="B79" s="37">
        <v>103.4</v>
      </c>
    </row>
    <row r="80" spans="1:24" x14ac:dyDescent="0.2">
      <c r="A80" s="68">
        <v>45443</v>
      </c>
      <c r="B80" s="37">
        <v>93.25</v>
      </c>
    </row>
    <row r="81" spans="1:2" x14ac:dyDescent="0.2">
      <c r="A81" s="68">
        <v>45473</v>
      </c>
      <c r="B81" s="37">
        <v>117.25</v>
      </c>
    </row>
    <row r="82" spans="1:2" x14ac:dyDescent="0.2">
      <c r="A82" s="68">
        <v>45504</v>
      </c>
      <c r="B82" s="37">
        <v>153.4</v>
      </c>
    </row>
    <row r="83" spans="1:2" x14ac:dyDescent="0.2">
      <c r="A83" s="68">
        <v>45505</v>
      </c>
      <c r="B83" s="23">
        <v>162</v>
      </c>
    </row>
    <row r="84" spans="1:2" x14ac:dyDescent="0.2">
      <c r="A84" s="68">
        <v>45536</v>
      </c>
      <c r="B84" s="37">
        <v>160.4</v>
      </c>
    </row>
    <row r="85" spans="1:2" x14ac:dyDescent="0.2">
      <c r="A85" s="68">
        <v>45566</v>
      </c>
      <c r="B85" s="37">
        <v>160.5</v>
      </c>
    </row>
    <row r="86" spans="1:2" x14ac:dyDescent="0.2">
      <c r="A86" s="68">
        <v>45597</v>
      </c>
      <c r="B86" s="37">
        <v>146.75</v>
      </c>
    </row>
    <row r="87" spans="1:2" x14ac:dyDescent="0.2">
      <c r="A87" s="68">
        <v>45627</v>
      </c>
      <c r="B87" s="37">
        <v>134</v>
      </c>
    </row>
    <row r="88" spans="1:2" x14ac:dyDescent="0.2">
      <c r="A88" s="68">
        <v>45682</v>
      </c>
      <c r="B88" s="37">
        <v>186</v>
      </c>
    </row>
    <row r="89" spans="1:2" x14ac:dyDescent="0.2">
      <c r="A89" s="68">
        <v>45713</v>
      </c>
      <c r="B89" s="37">
        <v>188</v>
      </c>
    </row>
    <row r="90" spans="1:2" x14ac:dyDescent="0.2">
      <c r="A90" s="68">
        <v>45741</v>
      </c>
      <c r="B90" s="37">
        <v>143</v>
      </c>
    </row>
    <row r="91" spans="1:2" x14ac:dyDescent="0.2">
      <c r="A91" s="68">
        <v>45772</v>
      </c>
      <c r="B91" s="37">
        <v>115</v>
      </c>
    </row>
    <row r="92" spans="1:2" x14ac:dyDescent="0.2">
      <c r="A92" s="68">
        <v>45778</v>
      </c>
      <c r="B92" s="37">
        <v>101</v>
      </c>
    </row>
    <row r="93" spans="1:2" x14ac:dyDescent="0.2">
      <c r="A93" s="68">
        <v>45809</v>
      </c>
      <c r="B93" s="37">
        <v>111.6</v>
      </c>
    </row>
    <row r="94" spans="1:2" x14ac:dyDescent="0.2">
      <c r="A94" s="68">
        <v>45839</v>
      </c>
      <c r="B94" s="37">
        <v>131</v>
      </c>
    </row>
    <row r="95" spans="1:2" x14ac:dyDescent="0.2">
      <c r="A95" s="68">
        <v>45870</v>
      </c>
      <c r="B95" s="37">
        <v>138</v>
      </c>
    </row>
    <row r="96" spans="1:2" x14ac:dyDescent="0.2">
      <c r="A96" s="68">
        <v>45901</v>
      </c>
      <c r="B96" s="37">
        <v>143.19999999999999</v>
      </c>
    </row>
    <row r="97" spans="1:2" x14ac:dyDescent="0.2">
      <c r="A97" s="68">
        <v>45931</v>
      </c>
      <c r="B97" s="23">
        <v>145</v>
      </c>
    </row>
    <row r="98" spans="1:2" x14ac:dyDescent="0.2">
      <c r="A98" s="68">
        <v>45962</v>
      </c>
      <c r="B98" s="23">
        <v>146</v>
      </c>
    </row>
    <row r="99" spans="1:2" x14ac:dyDescent="0.2">
      <c r="A99" s="68">
        <v>45993</v>
      </c>
      <c r="B99" s="23">
        <v>136</v>
      </c>
    </row>
    <row r="100" spans="1:2" x14ac:dyDescent="0.2">
      <c r="A100" s="26">
        <v>46023</v>
      </c>
      <c r="B100" s="86">
        <v>181.5</v>
      </c>
    </row>
    <row r="101" spans="1:2" x14ac:dyDescent="0.2">
      <c r="A101" s="68">
        <v>46054</v>
      </c>
      <c r="B101" s="87">
        <v>180.75</v>
      </c>
    </row>
    <row r="102" spans="1:2" x14ac:dyDescent="0.2">
      <c r="A102" s="26">
        <v>46082</v>
      </c>
      <c r="B102" s="87">
        <v>143.4</v>
      </c>
    </row>
    <row r="103" spans="1:2" x14ac:dyDescent="0.2">
      <c r="A103" s="26">
        <v>46113</v>
      </c>
      <c r="B103" s="87">
        <v>120.75</v>
      </c>
    </row>
    <row r="104" spans="1:2" x14ac:dyDescent="0.2">
      <c r="A104" s="26">
        <v>46143</v>
      </c>
      <c r="B104" s="87">
        <v>126.25</v>
      </c>
    </row>
    <row r="105" spans="1:2" x14ac:dyDescent="0.2">
      <c r="A105" s="26">
        <v>46174</v>
      </c>
      <c r="B105" s="86">
        <v>145.6</v>
      </c>
    </row>
    <row r="106" spans="1:2" x14ac:dyDescent="0.2">
      <c r="A106" s="26">
        <v>46204</v>
      </c>
      <c r="B106" s="86">
        <v>163</v>
      </c>
    </row>
    <row r="107" spans="1:2" x14ac:dyDescent="0.2">
      <c r="A107" s="26">
        <v>46235</v>
      </c>
      <c r="B107" s="23">
        <v>168</v>
      </c>
    </row>
    <row r="109" spans="1:2" x14ac:dyDescent="0.2">
      <c r="A109" s="23" t="s">
        <v>78</v>
      </c>
    </row>
    <row r="110" spans="1:2" x14ac:dyDescent="0.2">
      <c r="A110" s="23" t="str">
        <f ca="1">Table!A68</f>
        <v>Prepared by: Alberta Treasury Board and Finance, October 2, 2026</v>
      </c>
    </row>
  </sheetData>
  <hyperlinks>
    <hyperlink ref="C1" location="'Time Series'!A1" display="Back to main menu" xr:uid="{00000000-0004-0000-0700-000000000000}"/>
  </hyperlinks>
  <pageMargins left="0.7" right="0.7" top="0.75" bottom="0.75" header="0.3" footer="0.3"/>
  <pageSetup orientation="portrait" r:id="rId1"/>
  <headerFooter>
    <oddFooter>&amp;L&amp;1#&amp;"Calibri"&amp;11&amp;K000000Classification: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BACC6"/>
  </sheetPr>
  <dimension ref="A1:F41"/>
  <sheetViews>
    <sheetView topLeftCell="A13" zoomScale="120" zoomScaleNormal="120" workbookViewId="0">
      <selection activeCell="B9" sqref="B9:C33"/>
    </sheetView>
  </sheetViews>
  <sheetFormatPr defaultColWidth="9.42578125" defaultRowHeight="12.75" x14ac:dyDescent="0.2"/>
  <cols>
    <col min="1" max="1" width="14.5703125" style="23" customWidth="1"/>
    <col min="2" max="2" width="22.42578125" style="23" customWidth="1"/>
    <col min="3" max="3" width="14.5703125" style="23" customWidth="1"/>
    <col min="4" max="4" width="11.42578125" style="23" bestFit="1" customWidth="1"/>
    <col min="5" max="16384" width="9.42578125" style="23"/>
  </cols>
  <sheetData>
    <row r="1" spans="1:6" x14ac:dyDescent="0.2">
      <c r="A1" s="23" t="s">
        <v>47</v>
      </c>
      <c r="C1" s="32" t="s">
        <v>77</v>
      </c>
    </row>
    <row r="3" spans="1:6" s="24" customFormat="1" ht="25.5" x14ac:dyDescent="0.2">
      <c r="B3" s="25" t="s">
        <v>278</v>
      </c>
      <c r="C3" s="25" t="s">
        <v>268</v>
      </c>
    </row>
    <row r="4" spans="1:6" s="24" customFormat="1" ht="38.25" x14ac:dyDescent="0.2">
      <c r="B4" s="25" t="s">
        <v>279</v>
      </c>
      <c r="C4" s="25" t="s">
        <v>266</v>
      </c>
    </row>
    <row r="5" spans="1:6" x14ac:dyDescent="0.2">
      <c r="A5" s="1">
        <v>45412</v>
      </c>
      <c r="B5" s="35">
        <v>66.965940896368721</v>
      </c>
      <c r="C5" s="35">
        <v>11.653160453808752</v>
      </c>
      <c r="D5" s="86"/>
      <c r="E5" s="69"/>
      <c r="F5" s="69"/>
    </row>
    <row r="6" spans="1:6" x14ac:dyDescent="0.2">
      <c r="A6" s="1">
        <v>45443</v>
      </c>
      <c r="B6" s="35">
        <v>31.952340795952217</v>
      </c>
      <c r="C6" s="35">
        <v>6.2124248496993939</v>
      </c>
      <c r="D6" s="86"/>
      <c r="E6" s="69"/>
      <c r="F6" s="69"/>
    </row>
    <row r="7" spans="1:6" x14ac:dyDescent="0.2">
      <c r="A7" s="1">
        <v>45473</v>
      </c>
      <c r="B7" s="35">
        <v>60.686185504614912</v>
      </c>
      <c r="C7" s="35">
        <v>2.7083025011099604</v>
      </c>
      <c r="D7" s="86"/>
      <c r="E7" s="69"/>
      <c r="F7" s="69"/>
    </row>
    <row r="8" spans="1:6" x14ac:dyDescent="0.2">
      <c r="A8" s="1">
        <v>45504</v>
      </c>
      <c r="B8" s="35">
        <v>31.685381709792626</v>
      </c>
      <c r="C8" s="35">
        <v>-1.692708333333337</v>
      </c>
      <c r="D8" s="86"/>
      <c r="E8" s="69"/>
      <c r="F8" s="69"/>
    </row>
    <row r="9" spans="1:6" x14ac:dyDescent="0.2">
      <c r="A9" s="1">
        <v>45535</v>
      </c>
      <c r="B9" s="35">
        <v>19.666195471567093</v>
      </c>
      <c r="C9" s="35">
        <v>0.27420984269013182</v>
      </c>
      <c r="D9" s="86"/>
      <c r="E9" s="69"/>
      <c r="F9" s="69"/>
    </row>
    <row r="10" spans="1:6" x14ac:dyDescent="0.2">
      <c r="A10" s="1">
        <v>45565</v>
      </c>
      <c r="B10" s="35">
        <v>-4.9809690361073962</v>
      </c>
      <c r="C10" s="35">
        <v>-3.410526315789475</v>
      </c>
      <c r="D10" s="86"/>
      <c r="E10" s="69"/>
      <c r="F10" s="69"/>
    </row>
    <row r="11" spans="1:6" x14ac:dyDescent="0.2">
      <c r="A11" s="1">
        <v>45596</v>
      </c>
      <c r="B11" s="35">
        <v>30.285243038711542</v>
      </c>
      <c r="C11" s="35">
        <v>10.461681952432777</v>
      </c>
      <c r="D11" s="86"/>
      <c r="E11" s="69"/>
      <c r="F11" s="69"/>
    </row>
    <row r="12" spans="1:6" x14ac:dyDescent="0.2">
      <c r="A12" s="1">
        <v>45626</v>
      </c>
      <c r="B12" s="35">
        <v>44.3550301476523</v>
      </c>
      <c r="C12" s="35">
        <v>13.371537726838589</v>
      </c>
      <c r="D12" s="86"/>
      <c r="E12" s="69"/>
      <c r="F12" s="69"/>
    </row>
    <row r="13" spans="1:6" x14ac:dyDescent="0.2">
      <c r="A13" s="1">
        <v>45657</v>
      </c>
      <c r="B13" s="35">
        <v>0.33842085210336048</v>
      </c>
      <c r="C13" s="35">
        <v>-1.6276703967446626</v>
      </c>
      <c r="D13" s="86"/>
      <c r="E13" s="69"/>
      <c r="F13" s="69"/>
    </row>
    <row r="14" spans="1:6" x14ac:dyDescent="0.2">
      <c r="A14" s="1">
        <v>45688</v>
      </c>
      <c r="B14" s="35">
        <v>14.174919460684876</v>
      </c>
      <c r="C14" s="35">
        <v>0.82957357007713561</v>
      </c>
      <c r="D14" s="86"/>
      <c r="E14" s="69"/>
      <c r="F14" s="69"/>
    </row>
    <row r="15" spans="1:6" x14ac:dyDescent="0.2">
      <c r="A15" s="1">
        <v>45716</v>
      </c>
      <c r="B15" s="35">
        <v>15.313186926063649</v>
      </c>
      <c r="C15" s="35">
        <v>-7.7799943003704737</v>
      </c>
      <c r="D15" s="86"/>
      <c r="E15" s="69"/>
      <c r="F15" s="69"/>
    </row>
    <row r="16" spans="1:6" x14ac:dyDescent="0.2">
      <c r="A16" s="1">
        <v>45747</v>
      </c>
      <c r="B16" s="35">
        <v>32.123873930077607</v>
      </c>
      <c r="C16" s="35">
        <v>-9.9378881987577614</v>
      </c>
      <c r="D16" s="86"/>
      <c r="E16" s="69"/>
      <c r="F16" s="69"/>
    </row>
    <row r="17" spans="1:6" x14ac:dyDescent="0.2">
      <c r="A17" s="1">
        <v>45777</v>
      </c>
      <c r="B17" s="35">
        <v>38.383332607654452</v>
      </c>
      <c r="C17" s="35">
        <v>-8.5934097837131684</v>
      </c>
      <c r="D17" s="86"/>
      <c r="E17" s="69"/>
      <c r="F17" s="69"/>
    </row>
    <row r="18" spans="1:6" x14ac:dyDescent="0.2">
      <c r="A18" s="1">
        <v>45808</v>
      </c>
      <c r="B18" s="35">
        <v>42.167109901663679</v>
      </c>
      <c r="C18" s="35">
        <v>-6.3425253991291726</v>
      </c>
      <c r="D18" s="86"/>
      <c r="E18" s="69"/>
      <c r="F18" s="69"/>
    </row>
    <row r="19" spans="1:6" x14ac:dyDescent="0.2">
      <c r="A19" s="1">
        <v>45838</v>
      </c>
      <c r="B19" s="35">
        <v>49.052472986652226</v>
      </c>
      <c r="C19" s="35">
        <v>-9.0634005763688741</v>
      </c>
      <c r="D19" s="86"/>
      <c r="E19" s="69"/>
      <c r="F19" s="69"/>
    </row>
    <row r="20" spans="1:6" x14ac:dyDescent="0.2">
      <c r="A20" s="1">
        <v>45869</v>
      </c>
      <c r="B20" s="35">
        <v>-0.36294099281922731</v>
      </c>
      <c r="C20" s="35">
        <v>-4.5474613686534271</v>
      </c>
      <c r="D20" s="86"/>
      <c r="E20" s="69"/>
      <c r="F20" s="69"/>
    </row>
    <row r="21" spans="1:6" x14ac:dyDescent="0.2">
      <c r="A21" s="1">
        <v>45900</v>
      </c>
      <c r="B21" s="35">
        <v>-2.5697884069384336</v>
      </c>
      <c r="C21" s="35">
        <v>-5.2245250431778967</v>
      </c>
      <c r="D21" s="86"/>
      <c r="E21" s="69"/>
      <c r="F21" s="69"/>
    </row>
    <row r="22" spans="1:6" x14ac:dyDescent="0.2">
      <c r="A22" s="1">
        <v>45930</v>
      </c>
      <c r="B22" s="35">
        <v>18.770569894335722</v>
      </c>
      <c r="C22" s="35">
        <v>-9.7355419936065104</v>
      </c>
      <c r="D22" s="86"/>
      <c r="E22" s="69"/>
      <c r="F22" s="69"/>
    </row>
    <row r="23" spans="1:6" x14ac:dyDescent="0.2">
      <c r="A23" s="1">
        <v>45961</v>
      </c>
      <c r="B23" s="35">
        <v>8.1766392374427621</v>
      </c>
      <c r="C23" s="35">
        <v>-11.623979735434842</v>
      </c>
      <c r="D23" s="86"/>
      <c r="E23" s="69"/>
      <c r="F23" s="69"/>
    </row>
    <row r="24" spans="1:6" x14ac:dyDescent="0.2">
      <c r="A24" s="1">
        <v>45991</v>
      </c>
      <c r="B24" s="35">
        <v>-11.800496620677182</v>
      </c>
      <c r="C24" s="35">
        <v>-10.123560797528786</v>
      </c>
      <c r="D24" s="97"/>
      <c r="E24" s="69"/>
      <c r="F24" s="69"/>
    </row>
    <row r="25" spans="1:6" x14ac:dyDescent="0.2">
      <c r="A25" s="1">
        <v>46022</v>
      </c>
      <c r="B25" s="35">
        <v>-4.6079964261782518</v>
      </c>
      <c r="C25" s="35">
        <v>-10.946964101048895</v>
      </c>
      <c r="D25" s="97"/>
      <c r="E25" s="69"/>
      <c r="F25" s="69"/>
    </row>
    <row r="26" spans="1:6" x14ac:dyDescent="0.2">
      <c r="A26" s="1">
        <v>46053</v>
      </c>
      <c r="B26" s="35">
        <v>-2.368063538509757</v>
      </c>
      <c r="C26" s="35">
        <v>-16.021939953810627</v>
      </c>
      <c r="D26" s="97"/>
      <c r="E26" s="69"/>
      <c r="F26" s="69"/>
    </row>
    <row r="27" spans="1:6" x14ac:dyDescent="0.2">
      <c r="A27" s="1">
        <v>46081</v>
      </c>
      <c r="B27" s="35">
        <v>-20.820936737275296</v>
      </c>
      <c r="C27" s="35">
        <v>-8.822620519159452</v>
      </c>
      <c r="D27" s="97"/>
      <c r="E27" s="69"/>
      <c r="F27" s="69"/>
    </row>
    <row r="28" spans="1:6" x14ac:dyDescent="0.2">
      <c r="A28" s="1">
        <v>46112</v>
      </c>
      <c r="B28" s="35">
        <v>-23.253881313035919</v>
      </c>
      <c r="C28" s="35">
        <v>-14.390804597701145</v>
      </c>
      <c r="D28" s="97"/>
      <c r="E28" s="69"/>
      <c r="F28" s="69"/>
    </row>
    <row r="29" spans="1:6" x14ac:dyDescent="0.2">
      <c r="A29" s="1">
        <v>46142</v>
      </c>
      <c r="B29" s="35">
        <v>-39.823802406984974</v>
      </c>
      <c r="C29" s="35">
        <v>-8.0355724948388172</v>
      </c>
      <c r="D29" s="97"/>
      <c r="E29" s="69"/>
      <c r="F29" s="69"/>
    </row>
    <row r="30" spans="1:6" x14ac:dyDescent="0.2">
      <c r="A30" s="26">
        <v>46173</v>
      </c>
      <c r="B30" s="35">
        <v>-15.766882730818866</v>
      </c>
      <c r="C30" s="35">
        <v>-9.0965442429877577</v>
      </c>
      <c r="D30" s="74"/>
      <c r="E30" s="69"/>
      <c r="F30" s="69"/>
    </row>
    <row r="31" spans="1:6" x14ac:dyDescent="0.2">
      <c r="A31" s="1">
        <v>46203</v>
      </c>
      <c r="B31" s="35">
        <v>-17.899109229894506</v>
      </c>
      <c r="C31" s="35">
        <v>-6.0846141657423525</v>
      </c>
      <c r="D31" s="74"/>
      <c r="E31" s="69"/>
      <c r="F31" s="69"/>
    </row>
    <row r="32" spans="1:6" x14ac:dyDescent="0.2">
      <c r="A32" s="1">
        <v>46234</v>
      </c>
      <c r="B32" s="35">
        <v>-6.6331126865379346</v>
      </c>
      <c r="C32" s="35">
        <v>-9.8211532531606522</v>
      </c>
    </row>
    <row r="33" spans="1:6" x14ac:dyDescent="0.2">
      <c r="A33" s="1">
        <v>46265</v>
      </c>
      <c r="B33" s="35">
        <v>13.64303490523897</v>
      </c>
      <c r="C33" s="35">
        <v>-11.814730447987854</v>
      </c>
    </row>
    <row r="34" spans="1:6" x14ac:dyDescent="0.2">
      <c r="D34" s="72"/>
      <c r="E34" s="73"/>
      <c r="F34" s="72"/>
    </row>
    <row r="35" spans="1:6" x14ac:dyDescent="0.2">
      <c r="A35" s="23" t="s">
        <v>62</v>
      </c>
      <c r="E35" s="73"/>
    </row>
    <row r="36" spans="1:6" x14ac:dyDescent="0.2">
      <c r="A36" s="23" t="str">
        <f ca="1">Table!A68</f>
        <v>Prepared by: Alberta Treasury Board and Finance, October 2, 2026</v>
      </c>
      <c r="E36" s="73"/>
    </row>
    <row r="37" spans="1:6" x14ac:dyDescent="0.2">
      <c r="E37" s="73"/>
    </row>
    <row r="38" spans="1:6" x14ac:dyDescent="0.2">
      <c r="E38" s="73"/>
    </row>
    <row r="39" spans="1:6" x14ac:dyDescent="0.2">
      <c r="E39" s="73"/>
    </row>
    <row r="40" spans="1:6" x14ac:dyDescent="0.2">
      <c r="E40" s="73"/>
    </row>
    <row r="41" spans="1:6" x14ac:dyDescent="0.2">
      <c r="E41" s="73"/>
    </row>
  </sheetData>
  <hyperlinks>
    <hyperlink ref="C1" location="'Time Series'!A1" display="Back to main menu" xr:uid="{00000000-0004-0000-0900-000000000000}"/>
  </hyperlinks>
  <pageMargins left="0.75" right="0.75" top="1" bottom="1" header="0.5" footer="0.5"/>
  <pageSetup orientation="portrait" r:id="rId1"/>
  <headerFooter alignWithMargins="0">
    <oddHeader>&amp;LPDF named: chrt_ 04_iae.pdf&amp;RAlberta Economy Indicators at a Glance
Indicators - page 1-2</oddHeader>
    <oddFooter>&amp;R&amp;D: &amp;T
&amp;L&amp;"Calibri"&amp;11&amp;K000000&amp;"Arial"&amp;11&amp;K000000&amp;Z: &amp;F: &amp;A_x000D_&amp;1#&amp;"Calibri"&amp;11&amp;K000000Classification: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BACC6"/>
  </sheetPr>
  <dimension ref="A1:E40"/>
  <sheetViews>
    <sheetView topLeftCell="A18" zoomScale="120" zoomScaleNormal="120" workbookViewId="0">
      <selection activeCell="G33" sqref="G33"/>
    </sheetView>
  </sheetViews>
  <sheetFormatPr defaultColWidth="9.42578125" defaultRowHeight="12.75" x14ac:dyDescent="0.2"/>
  <cols>
    <col min="1" max="1" width="14.5703125" style="23" customWidth="1"/>
    <col min="2" max="2" width="18.7109375" style="23" customWidth="1"/>
    <col min="3" max="3" width="14.5703125" style="23" customWidth="1"/>
    <col min="4" max="4" width="19" style="23" customWidth="1"/>
    <col min="5" max="5" width="9.42578125" style="23" customWidth="1"/>
    <col min="6" max="16384" width="9.42578125" style="23"/>
  </cols>
  <sheetData>
    <row r="1" spans="1:5" x14ac:dyDescent="0.2">
      <c r="A1" s="23" t="s">
        <v>46</v>
      </c>
      <c r="D1" s="32" t="s">
        <v>77</v>
      </c>
    </row>
    <row r="3" spans="1:5" s="24" customFormat="1" ht="25.5" x14ac:dyDescent="0.2">
      <c r="B3" s="25" t="s">
        <v>270</v>
      </c>
      <c r="C3" s="25" t="s">
        <v>0</v>
      </c>
      <c r="D3" s="25" t="s">
        <v>269</v>
      </c>
    </row>
    <row r="4" spans="1:5" s="24" customFormat="1" ht="38.25" x14ac:dyDescent="0.2">
      <c r="B4" s="25" t="s">
        <v>280</v>
      </c>
      <c r="C4" s="25" t="s">
        <v>266</v>
      </c>
      <c r="D4" s="25" t="s">
        <v>280</v>
      </c>
    </row>
    <row r="5" spans="1:5" x14ac:dyDescent="0.2">
      <c r="A5" s="26">
        <v>45291</v>
      </c>
      <c r="B5" s="35">
        <v>1.7351907057963079</v>
      </c>
      <c r="C5" s="35">
        <v>2.9850746268656581</v>
      </c>
      <c r="D5" s="35">
        <v>2.0269014040323219</v>
      </c>
      <c r="E5" s="26"/>
    </row>
    <row r="6" spans="1:5" x14ac:dyDescent="0.2">
      <c r="A6" s="26">
        <v>45322</v>
      </c>
      <c r="B6" s="35">
        <v>2.4174244159866021</v>
      </c>
      <c r="C6" s="35">
        <v>3.3644859813084071</v>
      </c>
      <c r="D6" s="35">
        <v>-4.9557361115442511</v>
      </c>
      <c r="E6" s="26"/>
    </row>
    <row r="7" spans="1:5" x14ac:dyDescent="0.2">
      <c r="A7" s="26">
        <v>45351</v>
      </c>
      <c r="B7" s="35">
        <v>2.9094921685838271</v>
      </c>
      <c r="C7" s="35">
        <v>4.1848844472204938</v>
      </c>
      <c r="D7" s="35">
        <v>-2.8816211963242022</v>
      </c>
      <c r="E7" s="26"/>
    </row>
    <row r="8" spans="1:5" x14ac:dyDescent="0.2">
      <c r="A8" s="26">
        <v>45382</v>
      </c>
      <c r="B8" s="35">
        <v>2.1382443640586724</v>
      </c>
      <c r="C8" s="35">
        <v>3.4632034632034792</v>
      </c>
      <c r="D8" s="35">
        <v>-0.79151639194491308</v>
      </c>
      <c r="E8" s="26"/>
    </row>
    <row r="9" spans="1:5" x14ac:dyDescent="0.2">
      <c r="A9" s="26">
        <v>45412</v>
      </c>
      <c r="B9" s="35">
        <v>2.5287195292799103</v>
      </c>
      <c r="C9" s="35">
        <v>2.9932803909590744</v>
      </c>
      <c r="D9" s="35">
        <v>3.6473076861769149</v>
      </c>
      <c r="E9" s="26"/>
    </row>
    <row r="10" spans="1:5" x14ac:dyDescent="0.2">
      <c r="A10" s="26">
        <v>45443</v>
      </c>
      <c r="B10" s="35">
        <v>3.8494506350814417</v>
      </c>
      <c r="C10" s="35">
        <v>3.0469226081657474</v>
      </c>
      <c r="D10" s="35">
        <v>-1.2104632110694236</v>
      </c>
      <c r="E10" s="26"/>
    </row>
    <row r="11" spans="1:5" x14ac:dyDescent="0.2">
      <c r="A11" s="26">
        <v>45473</v>
      </c>
      <c r="B11" s="35">
        <v>4.2076087722457522</v>
      </c>
      <c r="C11" s="35">
        <v>3.0413625304136271</v>
      </c>
      <c r="D11" s="35">
        <v>0.19171320329707253</v>
      </c>
      <c r="E11" s="26"/>
    </row>
    <row r="12" spans="1:5" x14ac:dyDescent="0.2">
      <c r="A12" s="26">
        <v>45504</v>
      </c>
      <c r="B12" s="35">
        <v>3.3551110352426416</v>
      </c>
      <c r="C12" s="35">
        <v>2.6506024096385472</v>
      </c>
      <c r="D12" s="35">
        <v>5.6542474615461913</v>
      </c>
      <c r="E12" s="26"/>
    </row>
    <row r="13" spans="1:5" x14ac:dyDescent="0.2">
      <c r="A13" s="26">
        <v>45535</v>
      </c>
      <c r="B13" s="35">
        <v>5.3031660111374945</v>
      </c>
      <c r="C13" s="35">
        <v>2.0383693045563422</v>
      </c>
      <c r="D13" s="35">
        <v>1.5719480221916493</v>
      </c>
      <c r="E13" s="26"/>
    </row>
    <row r="14" spans="1:5" x14ac:dyDescent="0.2">
      <c r="A14" s="26">
        <v>45565</v>
      </c>
      <c r="B14" s="35">
        <v>4.6327692403409504</v>
      </c>
      <c r="C14" s="35">
        <v>1.9277108433734869</v>
      </c>
      <c r="D14" s="35">
        <v>4.7361435423982856</v>
      </c>
      <c r="E14" s="26"/>
    </row>
    <row r="15" spans="1:5" x14ac:dyDescent="0.2">
      <c r="A15" s="26">
        <v>45596</v>
      </c>
      <c r="B15" s="35">
        <v>4.1442053721752803</v>
      </c>
      <c r="C15" s="35">
        <v>2.9661016949152685</v>
      </c>
      <c r="D15" s="35">
        <v>5.1245448910232305</v>
      </c>
      <c r="E15" s="26"/>
    </row>
    <row r="16" spans="1:5" x14ac:dyDescent="0.2">
      <c r="A16" s="26">
        <v>45626</v>
      </c>
      <c r="B16" s="35">
        <v>2.8962219181031035</v>
      </c>
      <c r="C16" s="35">
        <v>2.7777777777777679</v>
      </c>
      <c r="D16" s="35">
        <v>4.3184829881819597</v>
      </c>
      <c r="E16" s="26"/>
    </row>
    <row r="17" spans="1:5" x14ac:dyDescent="0.2">
      <c r="A17" s="26">
        <v>45657</v>
      </c>
      <c r="B17" s="35">
        <v>3.6216775548657099</v>
      </c>
      <c r="C17" s="35">
        <v>2.4758454106280192</v>
      </c>
      <c r="D17" s="35">
        <v>6.4233110860834941</v>
      </c>
      <c r="E17" s="26"/>
    </row>
    <row r="18" spans="1:5" x14ac:dyDescent="0.2">
      <c r="A18" s="26">
        <v>45688</v>
      </c>
      <c r="B18" s="35">
        <v>5.259259830734675</v>
      </c>
      <c r="C18" s="35">
        <v>2.5316455696202445</v>
      </c>
      <c r="D18" s="35">
        <v>6.148121741083834</v>
      </c>
      <c r="E18" s="26"/>
    </row>
    <row r="19" spans="1:5" x14ac:dyDescent="0.2">
      <c r="A19" s="26">
        <v>45716</v>
      </c>
      <c r="B19" s="35">
        <v>4.2620649222414153</v>
      </c>
      <c r="C19" s="35">
        <v>2.7577937649880147</v>
      </c>
      <c r="D19" s="35">
        <v>3.8951343338187616</v>
      </c>
      <c r="E19" s="26"/>
    </row>
    <row r="20" spans="1:5" x14ac:dyDescent="0.2">
      <c r="A20" s="26">
        <v>45747</v>
      </c>
      <c r="B20" s="35">
        <v>3.3833720019052604</v>
      </c>
      <c r="C20" s="35">
        <v>2.8093245666467315</v>
      </c>
      <c r="D20" s="35">
        <v>6.2569598703610563</v>
      </c>
      <c r="E20" s="26"/>
    </row>
    <row r="21" spans="1:5" x14ac:dyDescent="0.2">
      <c r="A21" s="26">
        <v>45777</v>
      </c>
      <c r="B21" s="35">
        <v>3.3157978638610031</v>
      </c>
      <c r="C21" s="35">
        <v>1.4827995255041415</v>
      </c>
      <c r="D21" s="35">
        <v>-0.80382848703747234</v>
      </c>
      <c r="E21" s="26"/>
    </row>
    <row r="22" spans="1:5" x14ac:dyDescent="0.2">
      <c r="A22" s="26">
        <v>45808</v>
      </c>
      <c r="B22" s="35">
        <v>2.0229609064305487</v>
      </c>
      <c r="C22" s="35">
        <v>1.6558249556475557</v>
      </c>
      <c r="D22" s="35">
        <v>3.7651295524604667</v>
      </c>
      <c r="E22" s="26"/>
    </row>
    <row r="23" spans="1:5" x14ac:dyDescent="0.2">
      <c r="A23" s="26">
        <v>45838</v>
      </c>
      <c r="B23" s="35">
        <v>2.2818287689244432</v>
      </c>
      <c r="C23" s="35">
        <v>1.7119244391971655</v>
      </c>
      <c r="D23" s="35">
        <v>5.4284815488022442</v>
      </c>
      <c r="E23" s="26"/>
    </row>
    <row r="24" spans="1:5" x14ac:dyDescent="0.2">
      <c r="A24" s="26">
        <v>45869</v>
      </c>
      <c r="B24" s="35">
        <v>2.5269890842479992</v>
      </c>
      <c r="C24" s="35">
        <v>1.2910798122065748</v>
      </c>
      <c r="D24" s="35">
        <v>1.0761285572024049</v>
      </c>
      <c r="E24" s="26"/>
    </row>
    <row r="25" spans="1:5" x14ac:dyDescent="0.2">
      <c r="A25" s="26">
        <v>45900</v>
      </c>
      <c r="B25" s="35">
        <v>0.34392473595457052</v>
      </c>
      <c r="C25" s="35">
        <v>1.4101057579318566</v>
      </c>
      <c r="D25" s="35">
        <v>5.3108546071147567</v>
      </c>
      <c r="E25" s="26"/>
    </row>
    <row r="26" spans="1:5" x14ac:dyDescent="0.2">
      <c r="A26" s="26">
        <v>45930</v>
      </c>
      <c r="B26" s="35">
        <v>1.5853903271121794</v>
      </c>
      <c r="C26" s="35">
        <v>1.891252955082745</v>
      </c>
      <c r="D26" s="35">
        <v>-0.74894388251443011</v>
      </c>
      <c r="E26" s="35"/>
    </row>
    <row r="27" spans="1:5" x14ac:dyDescent="0.2">
      <c r="A27" s="26">
        <v>45961</v>
      </c>
      <c r="B27" s="35">
        <v>7.1932842904609551E-2</v>
      </c>
      <c r="C27" s="35">
        <v>1.8224573780129205</v>
      </c>
      <c r="D27" s="35">
        <v>0.22401325892809076</v>
      </c>
      <c r="E27" s="35"/>
    </row>
    <row r="28" spans="1:5" x14ac:dyDescent="0.2">
      <c r="A28" s="26">
        <v>45991</v>
      </c>
      <c r="B28" s="35">
        <v>1.6864301031883189</v>
      </c>
      <c r="C28" s="35">
        <v>1.8801410105758087</v>
      </c>
      <c r="D28" s="35">
        <v>5.498972701583793</v>
      </c>
      <c r="E28" s="35"/>
    </row>
    <row r="29" spans="1:5" x14ac:dyDescent="0.2">
      <c r="A29" s="26">
        <v>46022</v>
      </c>
      <c r="B29" s="35">
        <v>0.57605747160698328</v>
      </c>
      <c r="C29" s="35">
        <v>2.1213906894519852</v>
      </c>
      <c r="D29" s="35">
        <v>0.74425714279637845</v>
      </c>
    </row>
    <row r="30" spans="1:5" x14ac:dyDescent="0.2">
      <c r="A30" s="26">
        <v>46053</v>
      </c>
      <c r="B30" s="35">
        <v>0.52258934592044337</v>
      </c>
      <c r="C30" s="35">
        <v>1.9988242210464469</v>
      </c>
      <c r="D30" s="35">
        <v>5.2530388381957671</v>
      </c>
    </row>
    <row r="31" spans="1:5" x14ac:dyDescent="0.2">
      <c r="A31" s="26">
        <v>46081</v>
      </c>
      <c r="B31" s="35">
        <v>1.3828362570936115</v>
      </c>
      <c r="C31" s="35">
        <v>1.7502917152858899</v>
      </c>
      <c r="D31" s="35">
        <v>5.6604388386433557</v>
      </c>
    </row>
    <row r="32" spans="1:5" x14ac:dyDescent="0.2">
      <c r="A32" s="26">
        <v>46112</v>
      </c>
      <c r="B32" s="35">
        <v>1.8213569146169339</v>
      </c>
      <c r="C32" s="35">
        <v>2.2674418604651247</v>
      </c>
      <c r="D32" s="35">
        <v>6.0145133995925359</v>
      </c>
    </row>
    <row r="33" spans="1:4" x14ac:dyDescent="0.2">
      <c r="A33" s="26">
        <v>46142</v>
      </c>
      <c r="B33" s="35">
        <v>2.3556035591215219</v>
      </c>
      <c r="C33" s="35">
        <v>3.2144944476914183</v>
      </c>
      <c r="D33" s="35">
        <v>9.1836660246308313</v>
      </c>
    </row>
    <row r="34" spans="1:4" x14ac:dyDescent="0.2">
      <c r="A34" s="26">
        <v>46173</v>
      </c>
      <c r="B34" s="35">
        <v>1.5945162761278331</v>
      </c>
      <c r="C34" s="35">
        <v>3.7230948225712712</v>
      </c>
      <c r="D34" s="35">
        <v>9.6846517428472048</v>
      </c>
    </row>
    <row r="35" spans="1:4" x14ac:dyDescent="0.2">
      <c r="A35" s="26">
        <v>46203</v>
      </c>
      <c r="B35" s="35">
        <v>1.9187259424676029</v>
      </c>
      <c r="C35" s="35">
        <v>3.4242600116076494</v>
      </c>
      <c r="D35" s="35">
        <v>7.4187884945040361</v>
      </c>
    </row>
    <row r="36" spans="1:4" x14ac:dyDescent="0.2">
      <c r="A36" s="26">
        <v>46234</v>
      </c>
      <c r="B36" s="35">
        <v>2.4844765977388494</v>
      </c>
      <c r="C36" s="35">
        <v>4.1714947856315243</v>
      </c>
      <c r="D36" s="35">
        <v>9.6558157399239786</v>
      </c>
    </row>
    <row r="37" spans="1:4" x14ac:dyDescent="0.2">
      <c r="A37" s="26">
        <v>46265</v>
      </c>
      <c r="B37" s="35"/>
      <c r="C37" s="35">
        <v>3.8238702201622177</v>
      </c>
      <c r="D37" s="35"/>
    </row>
    <row r="39" spans="1:4" x14ac:dyDescent="0.2">
      <c r="A39" s="2" t="s">
        <v>12</v>
      </c>
    </row>
    <row r="40" spans="1:4" x14ac:dyDescent="0.2">
      <c r="A40" s="23" t="str">
        <f ca="1">Table!A68</f>
        <v>Prepared by: Alberta Treasury Board and Finance, October 2, 2026</v>
      </c>
    </row>
  </sheetData>
  <hyperlinks>
    <hyperlink ref="D1" location="'Time Series'!A1" display="Back to main menu" xr:uid="{00000000-0004-0000-0800-000000000000}"/>
  </hyperlinks>
  <pageMargins left="0.75" right="0.75" top="1" bottom="1" header="0.5" footer="0.5"/>
  <pageSetup orientation="portrait" r:id="rId1"/>
  <headerFooter alignWithMargins="0">
    <oddHeader>&amp;LPDF named: chrt_ 04_iae.pdf&amp;RAlberta Economy Indicators at a Glance
Indicators - page 1-2</oddHeader>
    <oddFooter>&amp;R&amp;D: &amp;T
&amp;L&amp;"Calibri"&amp;11&amp;K000000&amp;"Arial"&amp;11&amp;K000000&amp;Z: &amp;F: &amp;A_x000D_&amp;1#&amp;"Calibri"&amp;11&amp;K000000Classification: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tabColor rgb="FF0070C0"/>
    <pageSetUpPr autoPageBreaks="0"/>
  </sheetPr>
  <dimension ref="A1:T18"/>
  <sheetViews>
    <sheetView zoomScale="120" zoomScaleNormal="120" workbookViewId="0">
      <selection activeCell="H14" sqref="H14"/>
    </sheetView>
  </sheetViews>
  <sheetFormatPr defaultColWidth="8.7109375" defaultRowHeight="12.75" x14ac:dyDescent="0.2"/>
  <cols>
    <col min="1" max="1" width="29.5703125" style="2" customWidth="1"/>
    <col min="2" max="2" width="7" style="2" bestFit="1" customWidth="1"/>
    <col min="3" max="16384" width="8.7109375" style="2"/>
  </cols>
  <sheetData>
    <row r="1" spans="1:20" x14ac:dyDescent="0.2">
      <c r="A1" s="88" t="s">
        <v>283</v>
      </c>
      <c r="C1" s="32" t="s">
        <v>77</v>
      </c>
    </row>
    <row r="2" spans="1:20" x14ac:dyDescent="0.2">
      <c r="A2" s="25" t="s">
        <v>284</v>
      </c>
    </row>
    <row r="3" spans="1:20" x14ac:dyDescent="0.2">
      <c r="C3" s="75"/>
    </row>
    <row r="4" spans="1:20" ht="15" x14ac:dyDescent="0.25">
      <c r="A4" s="1" t="s">
        <v>1</v>
      </c>
      <c r="B4" s="118">
        <v>1.6555015431023001</v>
      </c>
      <c r="M4" s="53"/>
      <c r="N4" s="53"/>
    </row>
    <row r="5" spans="1:20" ht="15" x14ac:dyDescent="0.25">
      <c r="A5" s="1" t="s">
        <v>2</v>
      </c>
      <c r="B5" s="118">
        <v>3.5123674911660796</v>
      </c>
    </row>
    <row r="6" spans="1:20" ht="15" x14ac:dyDescent="0.25">
      <c r="A6" s="1" t="s">
        <v>3</v>
      </c>
      <c r="B6" s="118">
        <v>2.7803317750352941</v>
      </c>
    </row>
    <row r="7" spans="1:20" ht="15" x14ac:dyDescent="0.25">
      <c r="A7" s="1" t="s">
        <v>4</v>
      </c>
      <c r="B7" s="118">
        <v>2.2597938674054463</v>
      </c>
      <c r="E7" s="53"/>
    </row>
    <row r="8" spans="1:20" ht="15" x14ac:dyDescent="0.25">
      <c r="A8" s="1" t="s">
        <v>5</v>
      </c>
      <c r="B8" s="118">
        <v>1.9928259367437917</v>
      </c>
      <c r="E8" s="53"/>
    </row>
    <row r="9" spans="1:20" ht="15" x14ac:dyDescent="0.25">
      <c r="A9" s="1" t="s">
        <v>6</v>
      </c>
      <c r="B9" s="118">
        <v>0.60670067437500474</v>
      </c>
      <c r="E9" s="53"/>
    </row>
    <row r="10" spans="1:20" ht="15" x14ac:dyDescent="0.25">
      <c r="A10" s="1" t="s">
        <v>7</v>
      </c>
      <c r="B10" s="118">
        <v>1.280707616451271</v>
      </c>
      <c r="E10" s="53"/>
    </row>
    <row r="11" spans="1:20" ht="15" x14ac:dyDescent="0.25">
      <c r="A11" s="1" t="s">
        <v>8</v>
      </c>
      <c r="B11" s="118">
        <v>1.3359558316079934</v>
      </c>
      <c r="E11" s="53"/>
    </row>
    <row r="12" spans="1:20" ht="15" x14ac:dyDescent="0.25">
      <c r="A12" s="1" t="s">
        <v>9</v>
      </c>
      <c r="B12" s="118">
        <v>2.2053314759097331</v>
      </c>
      <c r="E12" s="53"/>
      <c r="J12" s="53"/>
      <c r="K12" s="53"/>
      <c r="L12" s="53"/>
      <c r="M12" s="53"/>
      <c r="N12" s="53"/>
      <c r="O12" s="53"/>
      <c r="P12" s="53"/>
      <c r="Q12" s="53"/>
    </row>
    <row r="13" spans="1:20" ht="15" x14ac:dyDescent="0.25">
      <c r="A13" s="1" t="s">
        <v>10</v>
      </c>
      <c r="B13" s="118">
        <v>2.6505286432309205</v>
      </c>
      <c r="E13" s="53"/>
    </row>
    <row r="14" spans="1:20" ht="15" x14ac:dyDescent="0.25">
      <c r="A14" s="1" t="s">
        <v>11</v>
      </c>
      <c r="B14" s="118">
        <v>2.02154697076391</v>
      </c>
      <c r="E14" s="53"/>
    </row>
    <row r="15" spans="1:20" x14ac:dyDescent="0.2">
      <c r="A15" s="1"/>
      <c r="B15" s="22"/>
      <c r="E15" s="53"/>
      <c r="J15" s="22"/>
      <c r="M15" s="53"/>
      <c r="N15" s="53"/>
      <c r="O15" s="53"/>
      <c r="P15" s="53"/>
      <c r="Q15" s="53"/>
      <c r="R15" s="53"/>
      <c r="S15" s="53"/>
      <c r="T15" s="53"/>
    </row>
    <row r="16" spans="1:20" x14ac:dyDescent="0.2">
      <c r="A16" s="1" t="s">
        <v>12</v>
      </c>
    </row>
    <row r="17" spans="1:1" x14ac:dyDescent="0.2">
      <c r="A17" s="44" t="str">
        <f ca="1">Table!A68</f>
        <v>Prepared by: Alberta Treasury Board and Finance, October 2, 2026</v>
      </c>
    </row>
    <row r="18" spans="1:1" x14ac:dyDescent="0.2">
      <c r="A18" s="76"/>
    </row>
  </sheetData>
  <hyperlinks>
    <hyperlink ref="C1" location="'Time Series'!A1" display="Back to main menu" xr:uid="{00000000-0004-0000-0A00-000000000000}"/>
  </hyperlinks>
  <pageMargins left="0.75" right="0.75" top="1" bottom="1" header="0.5" footer="0.5"/>
  <pageSetup orientation="portrait" horizontalDpi="1200" verticalDpi="1200" r:id="rId1"/>
  <headerFooter alignWithMargins="0">
    <oddHeader xml:space="preserve">&amp;LPDF named: chrt_ 01_rgdpgbp.pdf&amp;RWeekly Economic Review
</oddHeader>
    <oddFooter>&amp;R&amp;D
&amp;T
&amp;L&amp;"Calibri"&amp;11&amp;K000000&amp;"Arial"&amp;11&amp;K000000&amp;Z
&amp;F_x000D_&amp;1#&amp;"Calibri"&amp;11&amp;K000000Classification: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tabColor rgb="FF0070C0"/>
  </sheetPr>
  <dimension ref="A1:O22"/>
  <sheetViews>
    <sheetView zoomScale="120" zoomScaleNormal="120" workbookViewId="0">
      <selection activeCell="H20" sqref="H20"/>
    </sheetView>
  </sheetViews>
  <sheetFormatPr defaultColWidth="8.7109375" defaultRowHeight="12.75" x14ac:dyDescent="0.2"/>
  <cols>
    <col min="1" max="1" width="31" style="2" customWidth="1"/>
    <col min="2" max="16384" width="8.7109375" style="2"/>
  </cols>
  <sheetData>
    <row r="1" spans="1:15" x14ac:dyDescent="0.2">
      <c r="A1" s="75" t="s">
        <v>0</v>
      </c>
      <c r="C1" s="32" t="s">
        <v>77</v>
      </c>
      <c r="D1" s="77"/>
      <c r="E1" s="22"/>
      <c r="F1" s="22"/>
      <c r="G1" s="22"/>
      <c r="H1" s="22"/>
      <c r="I1" s="22"/>
      <c r="J1" s="22"/>
      <c r="K1" s="22"/>
      <c r="L1" s="22"/>
      <c r="M1" s="22"/>
      <c r="N1" s="22"/>
      <c r="O1" s="22"/>
    </row>
    <row r="2" spans="1:15" x14ac:dyDescent="0.2">
      <c r="A2" s="95" t="s">
        <v>294</v>
      </c>
    </row>
    <row r="3" spans="1:15" x14ac:dyDescent="0.2">
      <c r="A3" s="1"/>
    </row>
    <row r="4" spans="1:15" x14ac:dyDescent="0.2">
      <c r="A4" s="1" t="s">
        <v>1</v>
      </c>
      <c r="B4" s="49">
        <v>3.0339805825242649</v>
      </c>
      <c r="C4" s="22"/>
      <c r="D4" s="78"/>
    </row>
    <row r="5" spans="1:15" x14ac:dyDescent="0.2">
      <c r="A5" s="1" t="s">
        <v>2</v>
      </c>
      <c r="B5" s="49">
        <v>4.2952208106473044</v>
      </c>
      <c r="C5" s="22"/>
      <c r="D5" s="78"/>
    </row>
    <row r="6" spans="1:15" x14ac:dyDescent="0.2">
      <c r="A6" s="1" t="s">
        <v>3</v>
      </c>
      <c r="B6" s="49">
        <v>4.4483985765124467</v>
      </c>
      <c r="C6" s="22"/>
      <c r="D6" s="78"/>
    </row>
    <row r="7" spans="1:15" x14ac:dyDescent="0.2">
      <c r="A7" s="1" t="s">
        <v>4</v>
      </c>
      <c r="B7" s="49">
        <v>5.100830367734277</v>
      </c>
      <c r="C7" s="22"/>
      <c r="D7" s="78"/>
    </row>
    <row r="8" spans="1:15" x14ac:dyDescent="0.2">
      <c r="A8" s="1" t="s">
        <v>5</v>
      </c>
      <c r="B8" s="49">
        <v>4.5620437956204407</v>
      </c>
      <c r="C8" s="22"/>
      <c r="D8" s="78"/>
    </row>
    <row r="9" spans="1:15" x14ac:dyDescent="0.2">
      <c r="A9" s="1" t="s">
        <v>6</v>
      </c>
      <c r="B9" s="49">
        <v>3.0883261272390383</v>
      </c>
      <c r="C9" s="22"/>
      <c r="D9" s="78"/>
    </row>
    <row r="10" spans="1:15" x14ac:dyDescent="0.2">
      <c r="A10" s="1" t="s">
        <v>7</v>
      </c>
      <c r="B10" s="49">
        <v>2.4096385542168752</v>
      </c>
      <c r="C10" s="22"/>
      <c r="D10" s="78"/>
    </row>
    <row r="11" spans="1:15" x14ac:dyDescent="0.2">
      <c r="A11" s="1" t="s">
        <v>8</v>
      </c>
      <c r="B11" s="49">
        <v>4.4296116504854322</v>
      </c>
      <c r="C11" s="22"/>
      <c r="D11" s="78"/>
    </row>
    <row r="12" spans="1:15" x14ac:dyDescent="0.2">
      <c r="A12" s="1" t="s">
        <v>9</v>
      </c>
      <c r="B12" s="49">
        <v>3.4897713598074587</v>
      </c>
      <c r="C12" s="22"/>
      <c r="D12" s="78"/>
    </row>
    <row r="13" spans="1:15" x14ac:dyDescent="0.2">
      <c r="A13" s="1" t="s">
        <v>10</v>
      </c>
      <c r="B13" s="49">
        <v>3.8238702201622177</v>
      </c>
      <c r="C13" s="22"/>
      <c r="D13" s="78"/>
    </row>
    <row r="14" spans="1:15" x14ac:dyDescent="0.2">
      <c r="A14" s="1" t="s">
        <v>11</v>
      </c>
      <c r="B14" s="49">
        <v>3.0188679245283012</v>
      </c>
      <c r="C14" s="22"/>
      <c r="D14" s="78"/>
      <c r="E14" s="1"/>
    </row>
    <row r="15" spans="1:15" x14ac:dyDescent="0.2">
      <c r="A15" s="1"/>
      <c r="B15" s="49"/>
      <c r="C15" s="22"/>
      <c r="D15" s="78"/>
      <c r="E15" s="1"/>
    </row>
    <row r="16" spans="1:15" x14ac:dyDescent="0.2">
      <c r="A16" s="1" t="s">
        <v>12</v>
      </c>
      <c r="D16" s="1"/>
      <c r="E16" s="22"/>
    </row>
    <row r="17" spans="1:5" x14ac:dyDescent="0.2">
      <c r="A17" s="44" t="str">
        <f ca="1">Table!A68</f>
        <v>Prepared by: Alberta Treasury Board and Finance, October 2, 2026</v>
      </c>
      <c r="D17" s="1"/>
      <c r="E17" s="22"/>
    </row>
    <row r="18" spans="1:5" x14ac:dyDescent="0.2">
      <c r="A18" s="76"/>
      <c r="D18" s="1"/>
      <c r="E18" s="22"/>
    </row>
    <row r="19" spans="1:5" x14ac:dyDescent="0.2">
      <c r="D19" s="1"/>
      <c r="E19" s="22"/>
    </row>
    <row r="21" spans="1:5" x14ac:dyDescent="0.2">
      <c r="D21" s="1"/>
      <c r="E21" s="22"/>
    </row>
    <row r="22" spans="1:5" x14ac:dyDescent="0.2">
      <c r="D22" s="1"/>
      <c r="E22" s="22"/>
    </row>
  </sheetData>
  <hyperlinks>
    <hyperlink ref="C1" location="'Time Series'!A1" display="Back to main menu" xr:uid="{00000000-0004-0000-0B00-000000000000}"/>
  </hyperlinks>
  <pageMargins left="0.75" right="0.75" top="1" bottom="1" header="0.5" footer="0.5"/>
  <pageSetup orientation="portrait" horizontalDpi="1200" verticalDpi="1200" r:id="rId1"/>
  <headerFooter alignWithMargins="0">
    <oddHeader xml:space="preserve">&amp;LPDF named: chrt_ 02_CPIi.pdf&amp;RWeekly Economic Review
</oddHeader>
    <oddFooter>&amp;R&amp;D
&amp;T
&amp;L&amp;"Calibri"&amp;11&amp;K000000&amp;"Arial"&amp;11&amp;K000000&amp;Z
&amp;F_x000D_&amp;1#&amp;"Calibri"&amp;11&amp;K000000Classification: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tabColor rgb="FF0070C0"/>
    <pageSetUpPr autoPageBreaks="0"/>
  </sheetPr>
  <dimension ref="A1:R19"/>
  <sheetViews>
    <sheetView zoomScale="120" zoomScaleNormal="120" workbookViewId="0">
      <selection activeCell="H23" sqref="H23"/>
    </sheetView>
  </sheetViews>
  <sheetFormatPr defaultColWidth="8.7109375" defaultRowHeight="12.75" x14ac:dyDescent="0.2"/>
  <cols>
    <col min="1" max="1" width="24.42578125" style="2" bestFit="1" customWidth="1"/>
    <col min="2" max="16384" width="8.7109375" style="2"/>
  </cols>
  <sheetData>
    <row r="1" spans="1:18" x14ac:dyDescent="0.2">
      <c r="A1" s="1" t="s">
        <v>272</v>
      </c>
      <c r="C1" s="32" t="s">
        <v>77</v>
      </c>
    </row>
    <row r="2" spans="1:18" x14ac:dyDescent="0.2">
      <c r="A2" s="1" t="s">
        <v>292</v>
      </c>
    </row>
    <row r="3" spans="1:18" x14ac:dyDescent="0.2">
      <c r="B3" s="1"/>
    </row>
    <row r="4" spans="1:18" ht="15" customHeight="1" x14ac:dyDescent="0.2">
      <c r="A4" s="1" t="s">
        <v>1</v>
      </c>
      <c r="B4" s="22">
        <v>6.4</v>
      </c>
      <c r="D4" s="50"/>
      <c r="E4" s="50"/>
      <c r="F4" s="50"/>
      <c r="G4" s="50"/>
      <c r="H4" s="50"/>
      <c r="I4" s="50"/>
      <c r="J4" s="50"/>
      <c r="K4" s="50"/>
      <c r="L4" s="50"/>
      <c r="M4" s="50"/>
      <c r="N4" s="50"/>
      <c r="O4" s="50"/>
      <c r="P4" s="50"/>
      <c r="Q4" s="50"/>
    </row>
    <row r="5" spans="1:18" ht="15" customHeight="1" x14ac:dyDescent="0.2">
      <c r="A5" s="1" t="s">
        <v>2</v>
      </c>
      <c r="B5" s="22">
        <v>8.6</v>
      </c>
      <c r="D5" s="22"/>
      <c r="E5" s="22"/>
      <c r="F5" s="22"/>
      <c r="G5" s="50"/>
      <c r="H5" s="22"/>
      <c r="I5" s="22"/>
      <c r="J5" s="22"/>
      <c r="K5" s="22"/>
      <c r="L5" s="22"/>
      <c r="M5" s="22"/>
      <c r="N5" s="22"/>
    </row>
    <row r="6" spans="1:18" ht="15" customHeight="1" x14ac:dyDescent="0.2">
      <c r="A6" s="1" t="s">
        <v>3</v>
      </c>
      <c r="B6" s="22">
        <v>7.9</v>
      </c>
    </row>
    <row r="7" spans="1:18" ht="15" customHeight="1" x14ac:dyDescent="0.2">
      <c r="A7" s="1" t="s">
        <v>4</v>
      </c>
      <c r="B7" s="22">
        <v>6.1</v>
      </c>
    </row>
    <row r="8" spans="1:18" ht="15" customHeight="1" x14ac:dyDescent="0.2">
      <c r="A8" s="1" t="s">
        <v>5</v>
      </c>
      <c r="B8" s="22">
        <v>7.3</v>
      </c>
    </row>
    <row r="9" spans="1:18" ht="15" customHeight="1" x14ac:dyDescent="0.2">
      <c r="A9" s="1" t="s">
        <v>6</v>
      </c>
      <c r="B9" s="22">
        <v>5.6</v>
      </c>
      <c r="D9" s="79"/>
      <c r="E9" s="79"/>
      <c r="F9" s="79"/>
      <c r="H9" s="79"/>
      <c r="J9" s="79"/>
      <c r="K9" s="79"/>
      <c r="L9" s="79"/>
      <c r="M9" s="79"/>
      <c r="N9" s="79"/>
    </row>
    <row r="10" spans="1:18" ht="15" customHeight="1" x14ac:dyDescent="0.2">
      <c r="A10" s="1" t="s">
        <v>7</v>
      </c>
      <c r="B10" s="22">
        <v>6.9</v>
      </c>
    </row>
    <row r="11" spans="1:18" ht="15" customHeight="1" x14ac:dyDescent="0.2">
      <c r="A11" s="1" t="s">
        <v>8</v>
      </c>
      <c r="B11" s="22">
        <v>5</v>
      </c>
      <c r="H11" s="22"/>
      <c r="J11" s="22"/>
      <c r="K11" s="22"/>
      <c r="L11" s="22"/>
      <c r="M11" s="22"/>
      <c r="N11" s="22"/>
      <c r="O11" s="22"/>
      <c r="P11" s="22"/>
      <c r="Q11" s="22"/>
      <c r="R11" s="22"/>
    </row>
    <row r="12" spans="1:18" ht="15" customHeight="1" x14ac:dyDescent="0.2">
      <c r="A12" s="1" t="s">
        <v>9</v>
      </c>
      <c r="B12" s="22">
        <v>6</v>
      </c>
      <c r="F12" s="22"/>
      <c r="H12" s="22"/>
      <c r="J12" s="22"/>
      <c r="K12" s="22"/>
      <c r="L12" s="22"/>
      <c r="M12" s="22"/>
      <c r="N12" s="22"/>
      <c r="O12" s="22"/>
      <c r="P12" s="22"/>
    </row>
    <row r="13" spans="1:18" ht="15" customHeight="1" x14ac:dyDescent="0.2">
      <c r="A13" s="1" t="s">
        <v>10</v>
      </c>
      <c r="B13" s="22">
        <v>6.8</v>
      </c>
    </row>
    <row r="14" spans="1:18" ht="15" customHeight="1" x14ac:dyDescent="0.2">
      <c r="A14" s="1" t="s">
        <v>11</v>
      </c>
      <c r="B14" s="22">
        <v>6.5</v>
      </c>
      <c r="F14" s="22"/>
      <c r="H14" s="22"/>
      <c r="J14" s="22"/>
      <c r="K14" s="22"/>
      <c r="L14" s="22"/>
      <c r="M14" s="22"/>
      <c r="N14" s="22"/>
      <c r="O14" s="22"/>
      <c r="P14" s="22"/>
    </row>
    <row r="16" spans="1:18" x14ac:dyDescent="0.2">
      <c r="A16" s="1" t="s">
        <v>12</v>
      </c>
    </row>
    <row r="17" spans="1:1" x14ac:dyDescent="0.2">
      <c r="A17" s="44" t="str">
        <f ca="1">Table!A68</f>
        <v>Prepared by: Alberta Treasury Board and Finance, October 2, 2026</v>
      </c>
    </row>
    <row r="19" spans="1:1" x14ac:dyDescent="0.2">
      <c r="A19" s="44"/>
    </row>
  </sheetData>
  <hyperlinks>
    <hyperlink ref="C1" location="'Time Series'!A1" display="Back to main menu" xr:uid="{00000000-0004-0000-0C00-000000000000}"/>
  </hyperlinks>
  <pageMargins left="0.75" right="0.75" top="1" bottom="1" header="0.5" footer="0.5"/>
  <pageSetup orientation="portrait" horizontalDpi="1200" verticalDpi="1200" r:id="rId1"/>
  <headerFooter alignWithMargins="0">
    <oddHeader xml:space="preserve">&amp;LPDF named: chrt_ 03_ur.pdf&amp;RWeekly Economic Review
</oddHeader>
    <oddFooter>&amp;R&amp;D
&amp;T
&amp;L&amp;"Calibri"&amp;11&amp;K000000&amp;"Arial"&amp;11&amp;K000000&amp;Z
&amp;F_x000D_&amp;1#&amp;"Calibri"&amp;11&amp;K000000Classification: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rgb="FF0070C0"/>
  </sheetPr>
  <dimension ref="A1:P18"/>
  <sheetViews>
    <sheetView zoomScale="120" zoomScaleNormal="120" workbookViewId="0">
      <selection activeCell="I16" sqref="I16"/>
    </sheetView>
  </sheetViews>
  <sheetFormatPr defaultColWidth="8.7109375" defaultRowHeight="12.75" x14ac:dyDescent="0.2"/>
  <cols>
    <col min="1" max="1" width="24.42578125" style="2" bestFit="1" customWidth="1"/>
    <col min="2" max="16384" width="8.7109375" style="2"/>
  </cols>
  <sheetData>
    <row r="1" spans="1:16" x14ac:dyDescent="0.2">
      <c r="A1" s="1" t="s">
        <v>273</v>
      </c>
      <c r="C1" s="32" t="s">
        <v>77</v>
      </c>
    </row>
    <row r="2" spans="1:16" x14ac:dyDescent="0.2">
      <c r="A2" s="1" t="s">
        <v>293</v>
      </c>
    </row>
    <row r="3" spans="1:16" x14ac:dyDescent="0.2">
      <c r="B3" s="1"/>
    </row>
    <row r="4" spans="1:16" x14ac:dyDescent="0.2">
      <c r="A4" s="1" t="s">
        <v>1</v>
      </c>
      <c r="B4" s="50">
        <v>1.0330874283042135</v>
      </c>
      <c r="D4" s="80"/>
      <c r="E4" s="80"/>
      <c r="F4" s="80"/>
      <c r="G4" s="80"/>
      <c r="H4" s="80"/>
      <c r="I4" s="80"/>
      <c r="J4" s="80"/>
      <c r="K4" s="80"/>
      <c r="L4" s="80"/>
      <c r="M4" s="80"/>
      <c r="N4" s="80"/>
      <c r="O4" s="80"/>
    </row>
    <row r="5" spans="1:16" x14ac:dyDescent="0.2">
      <c r="A5" s="1" t="s">
        <v>2</v>
      </c>
      <c r="B5" s="50">
        <v>1.114321089558401</v>
      </c>
    </row>
    <row r="6" spans="1:16" x14ac:dyDescent="0.2">
      <c r="A6" s="1" t="s">
        <v>3</v>
      </c>
      <c r="B6" s="50">
        <v>1.4861995753715496</v>
      </c>
      <c r="G6" s="53"/>
      <c r="H6" s="53"/>
      <c r="I6" s="53"/>
      <c r="J6" s="53"/>
      <c r="K6" s="53"/>
      <c r="L6" s="53"/>
      <c r="M6" s="53"/>
      <c r="N6" s="53"/>
      <c r="O6" s="53"/>
      <c r="P6" s="53"/>
    </row>
    <row r="7" spans="1:16" x14ac:dyDescent="0.2">
      <c r="A7" s="1" t="s">
        <v>4</v>
      </c>
      <c r="B7" s="50">
        <v>3.1685436151937418</v>
      </c>
      <c r="D7" s="22"/>
      <c r="E7" s="22"/>
      <c r="G7" s="22"/>
      <c r="H7" s="22"/>
      <c r="I7" s="22"/>
      <c r="J7" s="22"/>
      <c r="K7" s="22"/>
      <c r="L7" s="22"/>
      <c r="M7" s="22"/>
      <c r="N7" s="22"/>
    </row>
    <row r="8" spans="1:16" x14ac:dyDescent="0.2">
      <c r="A8" s="1" t="s">
        <v>5</v>
      </c>
      <c r="B8" s="50">
        <v>1.6165133051479819</v>
      </c>
    </row>
    <row r="9" spans="1:16" x14ac:dyDescent="0.2">
      <c r="A9" s="1" t="s">
        <v>6</v>
      </c>
      <c r="B9" s="50">
        <v>-1.1652451107090678</v>
      </c>
    </row>
    <row r="10" spans="1:16" x14ac:dyDescent="0.2">
      <c r="A10" s="1" t="s">
        <v>7</v>
      </c>
      <c r="B10" s="50">
        <v>1.4187514498858356</v>
      </c>
    </row>
    <row r="11" spans="1:16" x14ac:dyDescent="0.2">
      <c r="A11" s="1" t="s">
        <v>8</v>
      </c>
      <c r="B11" s="50">
        <v>2.6472983980450726</v>
      </c>
      <c r="G11" s="53"/>
      <c r="H11" s="53"/>
      <c r="I11" s="53"/>
      <c r="J11" s="53"/>
      <c r="K11" s="53"/>
      <c r="L11" s="53"/>
      <c r="M11" s="53"/>
      <c r="N11" s="53"/>
      <c r="O11" s="53"/>
      <c r="P11" s="53"/>
    </row>
    <row r="12" spans="1:16" x14ac:dyDescent="0.2">
      <c r="A12" s="1" t="s">
        <v>9</v>
      </c>
      <c r="B12" s="50">
        <v>0.24181847493147668</v>
      </c>
    </row>
    <row r="13" spans="1:16" x14ac:dyDescent="0.2">
      <c r="A13" s="1" t="s">
        <v>10</v>
      </c>
      <c r="B13" s="50">
        <v>3.5971503094950785</v>
      </c>
    </row>
    <row r="14" spans="1:16" x14ac:dyDescent="0.2">
      <c r="A14" s="1" t="s">
        <v>11</v>
      </c>
      <c r="B14" s="50">
        <v>0.47012332220479625</v>
      </c>
    </row>
    <row r="16" spans="1:16" x14ac:dyDescent="0.2">
      <c r="A16" s="1" t="s">
        <v>12</v>
      </c>
    </row>
    <row r="17" spans="1:1" x14ac:dyDescent="0.2">
      <c r="A17" s="44" t="str">
        <f ca="1">Table!A68</f>
        <v>Prepared by: Alberta Treasury Board and Finance, October 2, 2026</v>
      </c>
    </row>
    <row r="18" spans="1:1" x14ac:dyDescent="0.2">
      <c r="A18" s="44"/>
    </row>
  </sheetData>
  <hyperlinks>
    <hyperlink ref="C1" location="'Time Series'!A1" display="Back to main menu" xr:uid="{00000000-0004-0000-0D00-000000000000}"/>
  </hyperlinks>
  <pageMargins left="0.75" right="0.75" top="1" bottom="1" header="0.5" footer="0.5"/>
  <pageSetup orientation="portrait" horizontalDpi="1200" verticalDpi="1200" r:id="rId1"/>
  <headerFooter alignWithMargins="0">
    <oddHeader xml:space="preserve">&amp;LPDF named: chrt_ 04_e.pdf&amp;RWeekly Economic Review
</oddHeader>
    <oddFooter>&amp;R&amp;D
&amp;T
&amp;L&amp;"Calibri"&amp;11&amp;K000000&amp;"Arial"&amp;11&amp;K000000&amp;Z
&amp;F_x000D_&amp;1#&amp;"Calibri"&amp;11&amp;K000000Classification: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rgb="FF0070C0"/>
  </sheetPr>
  <dimension ref="A1:Z23"/>
  <sheetViews>
    <sheetView zoomScale="120" zoomScaleNormal="120" workbookViewId="0">
      <selection activeCell="C15" sqref="C15"/>
    </sheetView>
  </sheetViews>
  <sheetFormatPr defaultColWidth="8.7109375" defaultRowHeight="12.75" x14ac:dyDescent="0.2"/>
  <cols>
    <col min="1" max="1" width="32.5703125" style="2" customWidth="1"/>
    <col min="2" max="4" width="14.28515625" style="2" customWidth="1"/>
    <col min="5" max="16384" width="8.7109375" style="2"/>
  </cols>
  <sheetData>
    <row r="1" spans="1:26" x14ac:dyDescent="0.2">
      <c r="A1" s="1" t="s">
        <v>281</v>
      </c>
      <c r="E1" s="32" t="s">
        <v>77</v>
      </c>
    </row>
    <row r="2" spans="1:26" x14ac:dyDescent="0.2">
      <c r="A2" s="1" t="s">
        <v>296</v>
      </c>
      <c r="B2" s="92"/>
      <c r="C2" s="92"/>
      <c r="D2" s="92"/>
    </row>
    <row r="3" spans="1:26" x14ac:dyDescent="0.2">
      <c r="A3" s="81"/>
      <c r="B3" s="82"/>
      <c r="C3" s="82"/>
      <c r="D3" s="82"/>
    </row>
    <row r="4" spans="1:26" x14ac:dyDescent="0.2">
      <c r="A4" s="1" t="s">
        <v>1</v>
      </c>
      <c r="B4" s="51">
        <v>3.1793080734970891</v>
      </c>
      <c r="C4" s="51"/>
      <c r="D4" s="51"/>
      <c r="F4" s="83"/>
    </row>
    <row r="5" spans="1:26" x14ac:dyDescent="0.2">
      <c r="A5" s="1" t="s">
        <v>2</v>
      </c>
      <c r="B5" s="51">
        <v>1.672452364421817</v>
      </c>
      <c r="C5" s="51"/>
      <c r="D5" s="51"/>
      <c r="F5" s="83"/>
    </row>
    <row r="6" spans="1:26" x14ac:dyDescent="0.2">
      <c r="A6" s="1" t="s">
        <v>3</v>
      </c>
      <c r="B6" s="51">
        <v>4.1361712399031081</v>
      </c>
      <c r="C6" s="51"/>
      <c r="D6" s="51"/>
      <c r="F6" s="83"/>
      <c r="T6" s="22"/>
      <c r="U6" s="22"/>
      <c r="V6" s="22"/>
      <c r="W6" s="22"/>
      <c r="X6" s="22"/>
      <c r="Y6" s="22"/>
      <c r="Z6" s="22"/>
    </row>
    <row r="7" spans="1:26" x14ac:dyDescent="0.2">
      <c r="A7" s="1" t="s">
        <v>4</v>
      </c>
      <c r="B7" s="51">
        <v>5.6209228970958591</v>
      </c>
      <c r="C7" s="51"/>
      <c r="D7" s="51"/>
      <c r="F7" s="83"/>
      <c r="T7" s="22"/>
      <c r="U7" s="22"/>
      <c r="V7" s="22"/>
      <c r="W7" s="22"/>
      <c r="X7" s="22"/>
      <c r="Y7" s="22"/>
      <c r="Z7" s="22"/>
    </row>
    <row r="8" spans="1:26" x14ac:dyDescent="0.2">
      <c r="A8" s="1" t="s">
        <v>5</v>
      </c>
      <c r="B8" s="51">
        <v>5.334858135011733</v>
      </c>
      <c r="C8" s="51"/>
      <c r="D8" s="51"/>
      <c r="F8" s="83"/>
      <c r="T8" s="22"/>
      <c r="U8" s="22"/>
      <c r="V8" s="22"/>
      <c r="W8" s="22"/>
      <c r="X8" s="22"/>
      <c r="Y8" s="22"/>
      <c r="Z8" s="22"/>
    </row>
    <row r="9" spans="1:26" x14ac:dyDescent="0.2">
      <c r="A9" s="1" t="s">
        <v>6</v>
      </c>
      <c r="B9" s="51">
        <v>1.933613659531086</v>
      </c>
      <c r="C9" s="51"/>
      <c r="D9" s="51"/>
      <c r="F9" s="83"/>
      <c r="T9" s="22"/>
      <c r="U9" s="22"/>
      <c r="V9" s="22"/>
      <c r="W9" s="22"/>
      <c r="X9" s="22"/>
      <c r="Y9" s="22"/>
      <c r="Z9" s="22"/>
    </row>
    <row r="10" spans="1:26" x14ac:dyDescent="0.2">
      <c r="A10" s="1" t="s">
        <v>7</v>
      </c>
      <c r="B10" s="51">
        <v>3.6152385208356508</v>
      </c>
      <c r="C10" s="51"/>
      <c r="D10" s="51"/>
      <c r="F10" s="83"/>
    </row>
    <row r="11" spans="1:26" x14ac:dyDescent="0.2">
      <c r="A11" s="1" t="s">
        <v>8</v>
      </c>
      <c r="B11" s="51">
        <v>3.0977349348603189</v>
      </c>
      <c r="C11" s="51"/>
      <c r="D11" s="51"/>
      <c r="F11" s="83"/>
    </row>
    <row r="12" spans="1:26" x14ac:dyDescent="0.2">
      <c r="A12" s="1" t="s">
        <v>9</v>
      </c>
      <c r="B12" s="51">
        <v>4.4408892811827583</v>
      </c>
      <c r="C12" s="51"/>
      <c r="D12" s="51"/>
      <c r="F12" s="83"/>
    </row>
    <row r="13" spans="1:26" x14ac:dyDescent="0.2">
      <c r="A13" s="1" t="s">
        <v>10</v>
      </c>
      <c r="B13" s="51">
        <v>2.4844765977388494</v>
      </c>
      <c r="C13" s="51"/>
      <c r="D13" s="51"/>
      <c r="F13" s="83"/>
    </row>
    <row r="14" spans="1:26" x14ac:dyDescent="0.2">
      <c r="A14" s="1" t="s">
        <v>11</v>
      </c>
      <c r="B14" s="51">
        <v>4.445624812359994</v>
      </c>
      <c r="C14" s="51"/>
      <c r="D14" s="51"/>
      <c r="F14" s="83"/>
    </row>
    <row r="15" spans="1:26" x14ac:dyDescent="0.2">
      <c r="A15" s="1"/>
      <c r="B15" s="51"/>
      <c r="C15" s="51"/>
      <c r="D15" s="51"/>
      <c r="F15" s="83"/>
    </row>
    <row r="16" spans="1:26" x14ac:dyDescent="0.2">
      <c r="A16" s="1" t="s">
        <v>12</v>
      </c>
    </row>
    <row r="17" spans="1:15" x14ac:dyDescent="0.2">
      <c r="A17" s="44" t="str">
        <f ca="1">Table!A68</f>
        <v>Prepared by: Alberta Treasury Board and Finance, October 2, 2026</v>
      </c>
    </row>
    <row r="18" spans="1:15" x14ac:dyDescent="0.2">
      <c r="A18" s="44"/>
    </row>
    <row r="23" spans="1:15" x14ac:dyDescent="0.2">
      <c r="E23" s="22"/>
      <c r="F23" s="22"/>
      <c r="G23" s="22"/>
      <c r="H23" s="22"/>
      <c r="I23" s="22"/>
      <c r="J23" s="22"/>
      <c r="K23" s="22"/>
      <c r="L23" s="22"/>
      <c r="M23" s="22"/>
      <c r="N23" s="22"/>
      <c r="O23" s="22"/>
    </row>
  </sheetData>
  <hyperlinks>
    <hyperlink ref="E1" location="'Time Series'!A1" display="Back to main menu" xr:uid="{00000000-0004-0000-0E00-000000000000}"/>
  </hyperlinks>
  <pageMargins left="0.75" right="0.75" top="1" bottom="1" header="0.5" footer="0.5"/>
  <pageSetup orientation="portrait" horizontalDpi="1200" verticalDpi="1200" r:id="rId1"/>
  <headerFooter alignWithMargins="0">
    <oddHeader xml:space="preserve">&amp;LPDF named: chrt_ 05_awe.pdf&amp;RWeekly Economic Review
</oddHeader>
    <oddFooter>&amp;R&amp;D
&amp;T
&amp;L&amp;"Calibri"&amp;11&amp;K000000&amp;"Arial"&amp;11&amp;K000000&amp;Z
&amp;F_x000D_&amp;1#&amp;"Calibri"&amp;11&amp;K000000Classification: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
    <tabColor rgb="FF0070C0"/>
  </sheetPr>
  <dimension ref="A1:Q17"/>
  <sheetViews>
    <sheetView tabSelected="1" zoomScale="120" zoomScaleNormal="120" workbookViewId="0">
      <selection activeCell="G23" sqref="G23"/>
    </sheetView>
  </sheetViews>
  <sheetFormatPr defaultColWidth="8.7109375" defaultRowHeight="12.75" x14ac:dyDescent="0.2"/>
  <cols>
    <col min="1" max="1" width="34" style="2" customWidth="1"/>
    <col min="2" max="2" width="8.5703125" style="2" customWidth="1"/>
    <col min="3" max="3" width="24.42578125" style="2" bestFit="1" customWidth="1"/>
    <col min="4" max="14" width="8.7109375" style="2"/>
    <col min="15" max="15" width="9.5703125" style="2" bestFit="1" customWidth="1"/>
    <col min="16" max="16384" width="8.7109375" style="2"/>
  </cols>
  <sheetData>
    <row r="1" spans="1:17" x14ac:dyDescent="0.2">
      <c r="A1" s="75" t="s">
        <v>282</v>
      </c>
      <c r="C1" s="32" t="s">
        <v>77</v>
      </c>
    </row>
    <row r="2" spans="1:17" ht="34.5" customHeight="1" x14ac:dyDescent="0.2">
      <c r="A2" s="95" t="s">
        <v>295</v>
      </c>
    </row>
    <row r="4" spans="1:17" x14ac:dyDescent="0.2">
      <c r="A4" s="1" t="s">
        <v>1</v>
      </c>
      <c r="B4" s="84">
        <v>-6.2335992925947608</v>
      </c>
      <c r="K4" s="80"/>
      <c r="L4" s="85"/>
      <c r="M4" s="85"/>
      <c r="N4" s="85"/>
      <c r="O4" s="85"/>
    </row>
    <row r="5" spans="1:17" x14ac:dyDescent="0.2">
      <c r="A5" s="1" t="s">
        <v>38</v>
      </c>
      <c r="B5" s="84">
        <v>-21.700893483650653</v>
      </c>
      <c r="K5" s="53"/>
      <c r="L5" s="53"/>
      <c r="M5" s="53"/>
      <c r="N5" s="53"/>
      <c r="O5" s="80"/>
    </row>
    <row r="6" spans="1:17" x14ac:dyDescent="0.2">
      <c r="A6" s="1" t="s">
        <v>6</v>
      </c>
      <c r="B6" s="84">
        <v>7.9438751829768961</v>
      </c>
    </row>
    <row r="7" spans="1:17" x14ac:dyDescent="0.2">
      <c r="A7" s="1" t="s">
        <v>7</v>
      </c>
      <c r="B7" s="84">
        <v>-25.478930518300601</v>
      </c>
      <c r="K7" s="80"/>
      <c r="L7" s="80"/>
      <c r="M7" s="80"/>
      <c r="N7" s="80"/>
      <c r="O7" s="80"/>
      <c r="P7" s="80"/>
      <c r="Q7" s="80"/>
    </row>
    <row r="8" spans="1:17" x14ac:dyDescent="0.2">
      <c r="A8" s="1" t="s">
        <v>8</v>
      </c>
      <c r="B8" s="84">
        <v>-47.525437123382389</v>
      </c>
    </row>
    <row r="9" spans="1:17" x14ac:dyDescent="0.2">
      <c r="A9" s="1" t="s">
        <v>9</v>
      </c>
      <c r="B9" s="84">
        <v>63.601914639010751</v>
      </c>
    </row>
    <row r="10" spans="1:17" x14ac:dyDescent="0.2">
      <c r="A10" s="1" t="s">
        <v>10</v>
      </c>
      <c r="B10" s="84">
        <v>13.64303490523897</v>
      </c>
      <c r="I10" s="50"/>
      <c r="J10" s="80"/>
    </row>
    <row r="11" spans="1:17" x14ac:dyDescent="0.2">
      <c r="A11" s="1" t="s">
        <v>11</v>
      </c>
      <c r="B11" s="84">
        <v>-10.879151311164604</v>
      </c>
      <c r="I11" s="50"/>
      <c r="J11" s="80"/>
    </row>
    <row r="12" spans="1:17" x14ac:dyDescent="0.2">
      <c r="A12" s="1"/>
      <c r="B12" s="84"/>
      <c r="I12" s="50"/>
      <c r="J12" s="80"/>
    </row>
    <row r="13" spans="1:17" x14ac:dyDescent="0.2">
      <c r="A13" s="1" t="s">
        <v>37</v>
      </c>
      <c r="I13" s="50"/>
      <c r="J13" s="80"/>
    </row>
    <row r="14" spans="1:17" x14ac:dyDescent="0.2">
      <c r="A14" s="44" t="str">
        <f ca="1">Table!A68</f>
        <v>Prepared by: Alberta Treasury Board and Finance, October 2, 2026</v>
      </c>
      <c r="I14" s="22"/>
      <c r="J14" s="80"/>
    </row>
    <row r="15" spans="1:17" x14ac:dyDescent="0.2">
      <c r="A15" s="44"/>
    </row>
    <row r="17" spans="1:1" x14ac:dyDescent="0.2">
      <c r="A17" s="44"/>
    </row>
  </sheetData>
  <conditionalFormatting sqref="A4:A12">
    <cfRule type="containsText" dxfId="0" priority="1" operator="containsText" text="ERROR!">
      <formula>NOT(ISERROR(SEARCH("ERROR!",A4)))</formula>
    </cfRule>
  </conditionalFormatting>
  <hyperlinks>
    <hyperlink ref="C1" location="'Time Series'!A1" display="Back to main menu" xr:uid="{00000000-0004-0000-0F00-000000000000}"/>
  </hyperlinks>
  <pageMargins left="0.75" right="0.75" top="1" bottom="1" header="0.5" footer="0.5"/>
  <pageSetup orientation="portrait" horizontalDpi="1200" verticalDpi="1200" r:id="rId1"/>
  <headerFooter alignWithMargins="0">
    <oddHeader xml:space="preserve">&amp;LPDF named: chrt_ 06_hs.pdf&amp;RWeekly Economic Review
</oddHeader>
    <oddFooter>&amp;R&amp;D
&amp;T
&amp;L&amp;"Calibri"&amp;11&amp;K000000&amp;"Arial"&amp;11&amp;K000000&amp;Z
&amp;F_x000D_&amp;1#&amp;"Calibri"&amp;11&amp;K000000Classification: Public</oddFooter>
  </headerFooter>
</worksheet>
</file>

<file path=docMetadata/LabelInfo.xml><?xml version="1.0" encoding="utf-8"?>
<clbl:labelList xmlns:clbl="http://schemas.microsoft.com/office/2020/mipLabelMetadata">
  <clbl:label id="{60c3ebf9-3c2f-4745-a75f-55836bdb736f}" enabled="1" method="Privileged" siteId="{2bb51c06-af9b-42c5-8bf5-3c3b7b10850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Time Series</vt:lpstr>
      <vt:lpstr>Table</vt:lpstr>
      <vt:lpstr>1) Oil Prices</vt:lpstr>
      <vt:lpstr>2) Economic Activity</vt:lpstr>
      <vt:lpstr>3) Labour 1</vt:lpstr>
      <vt:lpstr>4) Labour 2 </vt:lpstr>
      <vt:lpstr>5) Business Output</vt:lpstr>
      <vt:lpstr>6) Rigs</vt:lpstr>
      <vt:lpstr>7) Housing</vt:lpstr>
      <vt:lpstr>8) Inflation, AWE &amp; Retail</vt:lpstr>
      <vt:lpstr>9) Real GDP</vt:lpstr>
      <vt:lpstr>10) CPI</vt:lpstr>
      <vt:lpstr>11) UnemploymentRate</vt:lpstr>
      <vt:lpstr>12) Employment</vt:lpstr>
      <vt:lpstr>13) Avg Weekly Earnings</vt:lpstr>
      <vt:lpstr>14) Housing</vt:lpstr>
      <vt:lpstr>dataday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Alberta Weekly Economic Data Tables - April 21, 2017</dc:title>
  <dc:creator>Treasury Board and Finance, Economic and Revenue Forecasting</dc:creator>
  <cp:keywords>economic data tables, data tables, alberta economic data tables; Security Classification: PUBLIC</cp:keywords>
  <cp:lastModifiedBy>Aishwarya Tyagi</cp:lastModifiedBy>
  <cp:lastPrinted>2021-07-23T19:39:21Z</cp:lastPrinted>
  <dcterms:created xsi:type="dcterms:W3CDTF">2012-01-31T21:53:54Z</dcterms:created>
  <dcterms:modified xsi:type="dcterms:W3CDTF">2026-10-02T20:53:30Z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aver">
    <vt:lpwstr>V57</vt:lpwstr>
  </property>
  <property fmtid="{D5CDD505-2E9C-101B-9397-08002B2CF9AE}" pid="3" name="MSIP_Label_60c3ebf9-3c2f-4745-a75f-55836bdb736f_Enabled">
    <vt:lpwstr>true</vt:lpwstr>
  </property>
  <property fmtid="{D5CDD505-2E9C-101B-9397-08002B2CF9AE}" pid="4" name="MSIP_Label_60c3ebf9-3c2f-4745-a75f-55836bdb736f_SetDate">
    <vt:lpwstr>2023-07-28T17:35:10Z</vt:lpwstr>
  </property>
  <property fmtid="{D5CDD505-2E9C-101B-9397-08002B2CF9AE}" pid="5" name="MSIP_Label_60c3ebf9-3c2f-4745-a75f-55836bdb736f_Method">
    <vt:lpwstr>Privileged</vt:lpwstr>
  </property>
  <property fmtid="{D5CDD505-2E9C-101B-9397-08002B2CF9AE}" pid="6" name="MSIP_Label_60c3ebf9-3c2f-4745-a75f-55836bdb736f_Name">
    <vt:lpwstr>Public</vt:lpwstr>
  </property>
  <property fmtid="{D5CDD505-2E9C-101B-9397-08002B2CF9AE}" pid="7" name="MSIP_Label_60c3ebf9-3c2f-4745-a75f-55836bdb736f_SiteId">
    <vt:lpwstr>2bb51c06-af9b-42c5-8bf5-3c3b7b10850b</vt:lpwstr>
  </property>
  <property fmtid="{D5CDD505-2E9C-101B-9397-08002B2CF9AE}" pid="8" name="MSIP_Label_60c3ebf9-3c2f-4745-a75f-55836bdb736f_ActionId">
    <vt:lpwstr>6fb69696-7c5a-41b2-a9ca-61d024754d9f</vt:lpwstr>
  </property>
  <property fmtid="{D5CDD505-2E9C-101B-9397-08002B2CF9AE}" pid="9" name="MSIP_Label_60c3ebf9-3c2f-4745-a75f-55836bdb736f_ContentBits">
    <vt:lpwstr>2</vt:lpwstr>
  </property>
</Properties>
</file>