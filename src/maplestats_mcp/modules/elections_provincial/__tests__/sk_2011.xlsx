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6" yWindow="120" windowWidth="19140" windowHeight="9000" tabRatio="599" firstSheet="32" autoFilterDateGrouping="1"/>
  </bookViews>
  <sheets>
    <sheet name="Athabasca" sheetId="1" state="visible" r:id="rId1"/>
    <sheet name="Sasktoon Nutan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Arial"/>
      <family val="2"/>
      <sz val="8"/>
    </font>
    <font>
      <name val="Arial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sz val="8"/>
    </font>
    <font>
      <name val="Calibri"/>
      <family val="2"/>
      <color theme="1"/>
      <sz val="11"/>
      <scheme val="minor"/>
    </font>
    <font>
      <name val="Arial"/>
      <family val="2"/>
      <color rgb="FFFFFFFF"/>
      <sz val="8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sz val="8"/>
    </font>
    <font>
      <name val="Arial"/>
      <family val="2"/>
      <b val="1"/>
      <color theme="1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9" fillId="0" borderId="0"/>
    <xf numFmtId="0" fontId="2" fillId="0" borderId="0" applyAlignment="1" applyProtection="1">
      <alignment vertical="top"/>
      <protection locked="0" hidden="0"/>
    </xf>
    <xf numFmtId="9" fontId="9" fillId="0" borderId="0"/>
  </cellStyleXfs>
  <cellXfs count="13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2">
      <alignment horizontal="center"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0" applyAlignment="1" pivotButton="0" quotePrefix="0" xfId="0">
      <alignment horizontal="left"/>
    </xf>
    <xf numFmtId="10" fontId="5" fillId="0" borderId="0" applyAlignment="1" pivotButton="0" quotePrefix="0" xfId="0">
      <alignment horizontal="left"/>
    </xf>
    <xf numFmtId="10" fontId="5" fillId="0" borderId="0" pivotButton="0" quotePrefix="0" xfId="0"/>
    <xf numFmtId="0" fontId="11" fillId="0" borderId="0" pivotButton="0" quotePrefix="0" xfId="0"/>
    <xf numFmtId="3" fontId="4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wrapText="1"/>
    </xf>
    <xf numFmtId="0" fontId="5" fillId="0" borderId="1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pivotButton="0" quotePrefix="0" xfId="0"/>
    <xf numFmtId="0" fontId="4" fillId="0" borderId="2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  <xf numFmtId="0" fontId="6" fillId="0" borderId="3" applyAlignment="1" pivotButton="0" quotePrefix="0" xfId="0">
      <alignment horizontal="right" vertical="top" wrapText="1"/>
    </xf>
    <xf numFmtId="0" fontId="14" fillId="0" borderId="5" pivotButton="0" quotePrefix="0" xfId="0"/>
    <xf numFmtId="0" fontId="4" fillId="0" borderId="2" applyAlignment="1" pivotButton="0" quotePrefix="0" xfId="0">
      <alignment horizontal="right" vertical="top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vertical="top" wrapText="1"/>
    </xf>
    <xf numFmtId="0" fontId="4" fillId="0" borderId="3" applyAlignment="1" pivotButton="0" quotePrefix="0" xfId="0">
      <alignment wrapText="1"/>
    </xf>
    <xf numFmtId="0" fontId="4" fillId="0" borderId="3" applyAlignment="1" pivotButton="0" quotePrefix="0" xfId="0">
      <alignment horizontal="right" vertical="top" wrapText="1"/>
    </xf>
    <xf numFmtId="0" fontId="12" fillId="0" borderId="5" applyAlignment="1" pivotButton="0" quotePrefix="0" xfId="0">
      <alignment horizontal="center"/>
    </xf>
    <xf numFmtId="0" fontId="11" fillId="0" borderId="5" pivotButton="0" quotePrefix="0" xfId="0"/>
    <xf numFmtId="9" fontId="11" fillId="0" borderId="0" pivotButton="0" quotePrefix="0" xfId="3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wrapText="1"/>
    </xf>
    <xf numFmtId="0" fontId="14" fillId="0" borderId="5" applyAlignment="1" pivotButton="0" quotePrefix="0" xfId="0">
      <alignment horizontal="right"/>
    </xf>
    <xf numFmtId="4" fontId="14" fillId="0" borderId="5" applyAlignment="1" pivotButton="0" quotePrefix="0" xfId="0">
      <alignment horizontal="right"/>
    </xf>
    <xf numFmtId="4" fontId="14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vertical="top" wrapText="1"/>
    </xf>
    <xf numFmtId="4" fontId="4" fillId="0" borderId="3" applyAlignment="1" pivotButton="0" quotePrefix="0" xfId="0">
      <alignment horizontal="right" vertical="top" wrapText="1"/>
    </xf>
    <xf numFmtId="0" fontId="4" fillId="0" borderId="3" applyAlignment="1" pivotButton="0" quotePrefix="0" xfId="0">
      <alignment horizontal="right" wrapText="1"/>
    </xf>
    <xf numFmtId="0" fontId="14" fillId="0" borderId="0" applyAlignment="1" pivotButton="0" quotePrefix="0" xfId="0">
      <alignment horizontal="right"/>
    </xf>
    <xf numFmtId="0" fontId="16" fillId="0" borderId="4" pivotButton="0" quotePrefix="0" xfId="0"/>
    <xf numFmtId="0" fontId="4" fillId="0" borderId="2" applyAlignment="1" pivotButton="0" quotePrefix="0" xfId="0">
      <alignment horizontal="right" wrapText="1"/>
    </xf>
    <xf numFmtId="0" fontId="14" fillId="0" borderId="5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0" fillId="0" borderId="0" pivotButton="0" quotePrefix="0" xfId="0"/>
    <xf numFmtId="0" fontId="14" fillId="0" borderId="5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right" wrapText="1"/>
    </xf>
    <xf numFmtId="0" fontId="4" fillId="0" borderId="0" applyAlignment="1" pivotButton="0" quotePrefix="0" xfId="2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pivotButton="0" quotePrefix="0" xfId="0"/>
    <xf numFmtId="0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  <xf numFmtId="0" fontId="5" fillId="0" borderId="1" pivotButton="0" quotePrefix="0" xfId="0"/>
    <xf numFmtId="0" fontId="4" fillId="0" borderId="2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  <xf numFmtId="0" fontId="16" fillId="0" borderId="4" applyAlignment="1" pivotButton="0" quotePrefix="0" xfId="0">
      <alignment horizontal="right"/>
    </xf>
    <xf numFmtId="0" fontId="0" fillId="0" borderId="0" pivotButton="0" quotePrefix="0" xfId="0"/>
    <xf numFmtId="4" fontId="4" fillId="0" borderId="0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  <xf numFmtId="0" fontId="12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4" fillId="0" borderId="5" applyAlignment="1" pivotButton="0" quotePrefix="0" xfId="0">
      <alignment horizontal="right"/>
    </xf>
    <xf numFmtId="0" fontId="15" fillId="0" borderId="4" applyAlignment="1" pivotButton="0" quotePrefix="0" xfId="0">
      <alignment horizontal="left"/>
    </xf>
    <xf numFmtId="0" fontId="16" fillId="0" borderId="4" applyAlignment="1" pivotButton="0" quotePrefix="0" xfId="0">
      <alignment horizontal="left"/>
    </xf>
    <xf numFmtId="0" fontId="16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2" applyAlignment="1" pivotButton="0" quotePrefix="0" xfId="0">
      <alignment horizontal="right" wrapText="1"/>
    </xf>
    <xf numFmtId="0" fontId="11" fillId="0" borderId="3" applyAlignment="1" pivotButton="0" quotePrefix="0" xfId="0">
      <alignment horizontal="right" wrapText="1"/>
    </xf>
    <xf numFmtId="0" fontId="4" fillId="0" borderId="0" applyAlignment="1" pivotButton="0" quotePrefix="0" xfId="0">
      <alignment horizontal="center" wrapText="1"/>
    </xf>
    <xf numFmtId="0" fontId="4" fillId="0" borderId="3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center" wrapText="1"/>
    </xf>
    <xf numFmtId="0" fontId="4" fillId="0" borderId="6" applyAlignment="1" pivotButton="0" quotePrefix="0" xfId="0">
      <alignment horizontal="right" wrapText="1"/>
    </xf>
    <xf numFmtId="0" fontId="4" fillId="0" borderId="6" applyAlignment="1" pivotButton="0" quotePrefix="0" xfId="0">
      <alignment horizontal="center" wrapText="1"/>
    </xf>
    <xf numFmtId="0" fontId="4" fillId="0" borderId="6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right" wrapText="1"/>
    </xf>
    <xf numFmtId="0" fontId="16" fillId="0" borderId="4" applyAlignment="1" pivotButton="0" quotePrefix="0" xfId="0">
      <alignment horizontal="right"/>
    </xf>
    <xf numFmtId="0" fontId="0" fillId="0" borderId="4" pivotButton="0" quotePrefix="0" xfId="0"/>
    <xf numFmtId="0" fontId="10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11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right"/>
    </xf>
    <xf numFmtId="0" fontId="0" fillId="0" borderId="5" pivotButton="0" quotePrefix="0" xfId="0"/>
    <xf numFmtId="0" fontId="4" fillId="0" borderId="3" applyAlignment="1" pivotButton="0" quotePrefix="0" xfId="0">
      <alignment horizontal="right" wrapText="1"/>
    </xf>
    <xf numFmtId="0" fontId="12" fillId="0" borderId="5" applyAlignment="1" pivotButton="0" quotePrefix="0" xfId="0">
      <alignment horizontal="center"/>
    </xf>
    <xf numFmtId="0" fontId="0" fillId="0" borderId="3" pivotButton="0" quotePrefix="0" xfId="0"/>
  </cellXfs>
  <cellStyles count="3">
    <cellStyle name="Normal" xfId="0" builtinId="0"/>
    <cellStyle name="Hyperlink" xfId="1" builtinId="8" hidden="1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espree.elections.sk.ca/esResultsUnOfficialEdit.cfm?MODE=EDITINIT&amp;POLL=45" TargetMode="External" Id="rId1" /><Relationship Type="http://schemas.openxmlformats.org/officeDocument/2006/relationships/hyperlink" Target="http://espree.elections.sk.ca/esResultsUnOfficialEdit.cfm?MODE=EDITINIT&amp;POLL=46" TargetMode="External" Id="rId2" /><Relationship Type="http://schemas.openxmlformats.org/officeDocument/2006/relationships/hyperlink" Target="http://espree.elections.sk.ca/esResultsUnOfficialEdit.cfm?MODE=EDITINIT&amp;POLL=47" TargetMode="External" Id="rId3" /><Relationship Type="http://schemas.openxmlformats.org/officeDocument/2006/relationships/hyperlink" Target="http://espree.elections.sk.ca/esResultsUnOfficialEdit.cfm?MODE=EDITINIT&amp;POLL=48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://espree.elections.sk.ca/esResultsUnOfficialEdit.cfm?MODE=EDITINIT&amp;POLL=2009" TargetMode="External" Id="rId1" /><Relationship Type="http://schemas.openxmlformats.org/officeDocument/2006/relationships/hyperlink" Target="http://espree.elections.sk.ca/esResultsUnOfficialEdit.cfm?MODE=EDITINIT&amp;POLL=3362" TargetMode="External" Id="rId2" /><Relationship Type="http://schemas.openxmlformats.org/officeDocument/2006/relationships/hyperlink" Target="http://espree.elections.sk.ca/esResultsUnOfficialEdit.cfm?MODE=EDITINIT&amp;POLL=3363" TargetMode="External" Id="rId3" /><Relationship Type="http://schemas.openxmlformats.org/officeDocument/2006/relationships/hyperlink" Target="http://espree.elections.sk.ca/esResultsUnOfficialEdit.cfm?MODE=EDITINIT&amp;POLL=2011" TargetMode="External" Id="rId4" /></Relationships>
</file>

<file path=xl/worksheets/sheet1.xml><?xml version="1.0" encoding="utf-8"?>
<worksheet xmlns="http://schemas.openxmlformats.org/spreadsheetml/2006/main">
  <sheetPr codeName="Sheet12">
    <outlinePr summaryBelow="1" summaryRight="1"/>
    <pageSetUpPr fitToPage="1"/>
  </sheetPr>
  <dimension ref="A1:J15"/>
  <sheetViews>
    <sheetView topLeftCell="A7" workbookViewId="0">
      <selection activeCell="C54" sqref="C54"/>
    </sheetView>
  </sheetViews>
  <sheetFormatPr baseColWidth="8" defaultColWidth="9.109375" defaultRowHeight="13.8"/>
  <cols>
    <col width="8.33203125" customWidth="1" style="98" min="1" max="1"/>
    <col hidden="1" width="55.5546875" customWidth="1" style="27" min="2" max="2"/>
    <col width="37.5546875" customWidth="1" style="27" min="3" max="3"/>
    <col width="7.88671875" customWidth="1" style="27" min="4" max="4"/>
    <col width="9.109375" customWidth="1" style="27" min="5" max="7"/>
    <col width="9" customWidth="1" style="27" min="8" max="8"/>
    <col width="7" customWidth="1" style="27" min="9" max="9"/>
    <col width="9.109375" customWidth="1" style="27" min="10" max="16384"/>
  </cols>
  <sheetData>
    <row r="1" ht="20.1" customHeight="1" s="90">
      <c r="A1" s="128" t="n"/>
      <c r="C1" s="7" t="inlineStr">
        <is>
          <t>Saskatchewan</t>
        </is>
      </c>
    </row>
    <row r="2" ht="20.1" customHeight="1" s="90" thickBot="1">
      <c r="A2" s="126" t="n"/>
      <c r="B2" s="50" t="n"/>
      <c r="C2" s="43" t="inlineStr">
        <is>
          <t>Vote Summary by Constituency Polling Division: Athabasca</t>
        </is>
      </c>
      <c r="D2" s="50" t="n"/>
      <c r="E2" s="50" t="n"/>
      <c r="F2" s="50" t="n"/>
      <c r="G2" s="50" t="n"/>
      <c r="H2" s="100" t="inlineStr">
        <is>
          <t>Appendix VI</t>
        </is>
      </c>
      <c r="I2" s="126" t="n"/>
    </row>
    <row r="3" ht="15" customHeight="1" s="90">
      <c r="A3" s="101" t="inlineStr">
        <is>
          <t xml:space="preserve">   Polling Location</t>
        </is>
      </c>
      <c r="B3" s="121" t="n"/>
      <c r="C3" s="121" t="n"/>
      <c r="D3" s="69" t="n"/>
      <c r="E3" s="103" t="inlineStr">
        <is>
          <t>Votes Cast For</t>
        </is>
      </c>
      <c r="F3" s="121" t="n"/>
      <c r="G3" s="121" t="n"/>
      <c r="H3" s="120" t="n"/>
      <c r="I3" s="120" t="inlineStr">
        <is>
          <t xml:space="preserve">Ballots  </t>
        </is>
      </c>
    </row>
    <row r="4" ht="23.25" customHeight="1" s="90">
      <c r="A4" s="111" t="inlineStr">
        <is>
          <t>Poll</t>
        </is>
      </c>
      <c r="B4" s="107" t="inlineStr">
        <is>
          <t>Poll Name</t>
        </is>
      </c>
      <c r="C4" s="112" t="n"/>
      <c r="D4" s="127" t="inlineStr">
        <is>
          <t>Eligible Voters</t>
        </is>
      </c>
      <c r="E4" s="46" t="inlineStr">
        <is>
          <t>Buckley Belanger</t>
        </is>
      </c>
      <c r="F4" s="46" t="inlineStr">
        <is>
          <t>George A. Durocher</t>
        </is>
      </c>
      <c r="G4" s="46" t="inlineStr">
        <is>
          <t>Bobby Woods</t>
        </is>
      </c>
      <c r="H4" s="127" t="inlineStr">
        <is>
          <t>Totel Counted</t>
        </is>
      </c>
      <c r="I4" s="118" t="inlineStr">
        <is>
          <t>Rejected</t>
        </is>
      </c>
    </row>
    <row r="5" ht="10.5" customHeight="1" s="90">
      <c r="A5" s="129" t="n"/>
      <c r="B5" s="129" t="n"/>
      <c r="C5" s="107" t="inlineStr">
        <is>
          <t>Poll Name</t>
        </is>
      </c>
      <c r="D5" s="129" t="n"/>
      <c r="E5" s="48" t="inlineStr">
        <is>
          <t>NDP</t>
        </is>
      </c>
      <c r="F5" s="48" t="inlineStr">
        <is>
          <t>GP</t>
        </is>
      </c>
      <c r="G5" s="48" t="inlineStr">
        <is>
          <t>SP</t>
        </is>
      </c>
      <c r="H5" s="129" t="n"/>
      <c r="I5" s="127" t="inlineStr">
        <is>
          <t>Ballots</t>
        </is>
      </c>
    </row>
    <row r="6" ht="11.1" customHeight="1" s="90">
      <c r="A6" s="77" t="n">
        <v>1</v>
      </c>
      <c r="B6" s="78" t="inlineStr">
        <is>
          <t>CAMSELL PORTAGE SCHOOL</t>
        </is>
      </c>
      <c r="C6" s="112">
        <f>PROPER(B6)</f>
        <v/>
      </c>
      <c r="D6" s="79" t="n">
        <v>8</v>
      </c>
      <c r="E6" s="79" t="n">
        <v>4</v>
      </c>
      <c r="F6" s="79" t="n">
        <v>1</v>
      </c>
      <c r="G6" s="79" t="n">
        <v>0</v>
      </c>
      <c r="H6" s="79">
        <f>SUM(E6:G6)</f>
        <v/>
      </c>
      <c r="I6" s="79" t="n">
        <v>0</v>
      </c>
    </row>
    <row r="7" ht="11.1" customHeight="1" s="90">
      <c r="A7" s="77" t="n">
        <v>2</v>
      </c>
      <c r="B7" s="78" t="inlineStr">
        <is>
          <t>BEN MCINTYRE SCHOOL, URANIUM CITY</t>
        </is>
      </c>
      <c r="C7" s="112" t="inlineStr">
        <is>
          <t>Ben McIntyre School, Uranium City</t>
        </is>
      </c>
      <c r="D7" s="79" t="n">
        <v>57</v>
      </c>
      <c r="E7" s="79" t="n">
        <v>18</v>
      </c>
      <c r="F7" s="79" t="n">
        <v>3</v>
      </c>
      <c r="G7" s="79" t="n">
        <v>5</v>
      </c>
      <c r="H7" s="79">
        <f>SUM(E7:G7)</f>
        <v/>
      </c>
      <c r="I7" s="79" t="n">
        <v>0</v>
      </c>
      <c r="J7" s="51" t="n"/>
    </row>
    <row r="8" ht="11.1" customHeight="1" s="90">
      <c r="A8" s="77" t="n">
        <v>3</v>
      </c>
      <c r="B8" s="78" t="inlineStr">
        <is>
          <t>FOND DU LAC BAND HALL</t>
        </is>
      </c>
      <c r="C8" s="112">
        <f>PROPER(B8)</f>
        <v/>
      </c>
      <c r="D8" s="79" t="n">
        <v>335</v>
      </c>
      <c r="E8" s="79" t="n">
        <v>32</v>
      </c>
      <c r="F8" s="79" t="n">
        <v>3</v>
      </c>
      <c r="G8" s="79" t="n">
        <v>18</v>
      </c>
      <c r="H8" s="79">
        <f>SUM(E8:G8)</f>
        <v/>
      </c>
      <c r="I8" s="79" t="n">
        <v>0</v>
      </c>
    </row>
    <row r="9" ht="11.1" customHeight="1" s="90">
      <c r="A9" s="77" t="n">
        <v>4</v>
      </c>
      <c r="B9" s="78" t="inlineStr">
        <is>
          <t>STONY RAPIDS COMMUNITY HALL</t>
        </is>
      </c>
      <c r="C9" s="112">
        <f>PROPER(B9)</f>
        <v/>
      </c>
      <c r="D9" s="79" t="n">
        <v>121</v>
      </c>
      <c r="E9" s="79" t="n">
        <v>17</v>
      </c>
      <c r="F9" s="79" t="n">
        <v>4</v>
      </c>
      <c r="G9" s="79" t="n">
        <v>26</v>
      </c>
      <c r="H9" s="79">
        <f>SUM(E9:G9)</f>
        <v/>
      </c>
      <c r="I9" s="79" t="n">
        <v>0</v>
      </c>
    </row>
    <row r="10" ht="11.1" customHeight="1" s="90">
      <c r="A10" s="22" t="n"/>
      <c r="B10" s="5" t="inlineStr">
        <is>
          <t>Totals</t>
        </is>
      </c>
      <c r="C10" s="85" t="inlineStr">
        <is>
          <t>Totals</t>
        </is>
      </c>
      <c r="D10" s="85">
        <f>SUM(D6:D46)</f>
        <v/>
      </c>
      <c r="E10" s="85">
        <f>SUM(E6:E46)</f>
        <v/>
      </c>
      <c r="F10" s="85">
        <f>SUM(F6:F46)</f>
        <v/>
      </c>
      <c r="G10" s="85">
        <f>SUM(G6:G46)</f>
        <v/>
      </c>
      <c r="H10" s="85">
        <f>SUM(H6:H46)</f>
        <v/>
      </c>
      <c r="I10" s="85">
        <f>SUM(I6:I46)</f>
        <v/>
      </c>
    </row>
    <row r="11" ht="11.1" customHeight="1" s="90"/>
    <row r="12" ht="11.1" customHeight="1" s="90">
      <c r="C12" s="78" t="inlineStr">
        <is>
          <t>Candidate Elected - Buckley Belanger</t>
        </is>
      </c>
      <c r="D12" s="81" t="n"/>
      <c r="E12" s="81" t="n"/>
      <c r="F12" s="81" t="n"/>
      <c r="G12" s="81" t="n"/>
    </row>
    <row r="13" ht="11.1" customHeight="1" s="90">
      <c r="C13" s="78" t="inlineStr">
        <is>
          <t>Plurality</t>
        </is>
      </c>
      <c r="D13" s="24">
        <f>E47-G47</f>
        <v/>
      </c>
      <c r="E13" s="81" t="n"/>
      <c r="F13" s="81" t="n"/>
      <c r="G13" s="81" t="n"/>
    </row>
    <row r="14" ht="11.1" customHeight="1" s="90">
      <c r="C14" s="78" t="inlineStr">
        <is>
          <t>% Who Voted</t>
        </is>
      </c>
      <c r="D14" s="25">
        <f>H47/D47</f>
        <v/>
      </c>
      <c r="E14" s="81" t="n"/>
      <c r="F14" s="81" t="n"/>
      <c r="G14" s="81" t="n"/>
    </row>
    <row r="15" ht="11.1" customHeight="1" s="90">
      <c r="C15" s="78" t="inlineStr">
        <is>
          <t>% By Party</t>
        </is>
      </c>
      <c r="D15" s="81" t="n"/>
      <c r="E15" s="26">
        <f>E47/H47</f>
        <v/>
      </c>
      <c r="F15" s="26">
        <f>F47/H47</f>
        <v/>
      </c>
      <c r="G15" s="26">
        <f>G47/H47</f>
        <v/>
      </c>
    </row>
    <row r="16" ht="11.1" customHeight="1" s="90"/>
    <row r="17" ht="11.1" customHeight="1" s="90"/>
    <row r="18" ht="11.1" customHeight="1" s="90"/>
    <row r="19" ht="11.1" customHeight="1" s="90"/>
    <row r="20" ht="11.1" customHeight="1" s="90"/>
    <row r="21" ht="11.1" customHeight="1" s="90"/>
    <row r="22" ht="11.1" customHeight="1" s="90"/>
    <row r="23" ht="11.1" customHeight="1" s="90"/>
    <row r="24" ht="11.1" customHeight="1" s="90"/>
    <row r="25" ht="11.1" customHeight="1" s="90"/>
    <row r="26" ht="11.1" customHeight="1" s="90"/>
    <row r="27" ht="11.1" customHeight="1" s="90"/>
    <row r="28" ht="11.1" customHeight="1" s="90"/>
    <row r="29" ht="11.1" customHeight="1" s="90"/>
    <row r="30" ht="11.1" customHeight="1" s="90"/>
    <row r="31" ht="11.1" customHeight="1" s="90"/>
    <row r="32" ht="11.1" customHeight="1" s="90"/>
    <row r="33" ht="11.1" customHeight="1" s="90"/>
    <row r="34" ht="11.1" customHeight="1" s="90"/>
    <row r="35" ht="11.1" customHeight="1" s="90"/>
    <row r="36" ht="11.1" customHeight="1" s="90"/>
    <row r="37" ht="11.1" customHeight="1" s="90"/>
    <row r="38" ht="11.1" customHeight="1" s="90"/>
    <row r="39" ht="11.1" customHeight="1" s="90"/>
    <row r="40" ht="11.1" customHeight="1" s="90"/>
    <row r="41" ht="11.1" customHeight="1" s="90"/>
    <row r="42" ht="11.1" customHeight="1" s="90"/>
    <row r="43" ht="11.1" customHeight="1" s="90"/>
    <row r="44" ht="11.1" customHeight="1" s="90"/>
    <row r="45" ht="11.1" customHeight="1" s="90"/>
    <row r="46" ht="11.1" customHeight="1" s="90"/>
    <row r="47" ht="11.1" customHeight="1" s="90" thickBot="1"/>
    <row r="48" ht="11.1" customHeight="1" s="90"/>
    <row r="49" ht="11.1" customHeight="1" s="90"/>
    <row r="50" ht="11.1" customHeight="1" s="90"/>
    <row r="51" ht="11.1" customHeight="1" s="90"/>
    <row r="52" ht="11.1" customHeight="1" s="90"/>
  </sheetData>
  <mergeCells count="8">
    <mergeCell ref="H2:I2"/>
    <mergeCell ref="B4:B5"/>
    <mergeCell ref="A4:A5"/>
    <mergeCell ref="D4:D5"/>
    <mergeCell ref="H4:H5"/>
    <mergeCell ref="A3:C3"/>
    <mergeCell ref="E3:G3"/>
    <mergeCell ref="A1:A2"/>
  </mergeCells>
  <hyperlinks>
    <hyperlink xmlns:r="http://schemas.openxmlformats.org/officeDocument/2006/relationships" ref="A6" display="http://espree.elections.sk.ca/esResultsUnOfficialEdit.cfm?MODE=EDITINIT&amp;POLL=45" r:id="rId1"/>
    <hyperlink xmlns:r="http://schemas.openxmlformats.org/officeDocument/2006/relationships" ref="A7" display="http://espree.elections.sk.ca/esResultsUnOfficialEdit.cfm?MODE=EDITINIT&amp;POLL=46" r:id="rId2"/>
    <hyperlink xmlns:r="http://schemas.openxmlformats.org/officeDocument/2006/relationships" ref="A8" display="http://espree.elections.sk.ca/esResultsUnOfficialEdit.cfm?MODE=EDITINIT&amp;POLL=47" r:id="rId3"/>
    <hyperlink xmlns:r="http://schemas.openxmlformats.org/officeDocument/2006/relationships" ref="A9" display="http://espree.elections.sk.ca/esResultsUnOfficialEdit.cfm?MODE=EDITINIT&amp;POLL=48" r:id="rId4"/>
  </hyperlinks>
  <pageMargins left="0.7" right="0.7" top="0.75" bottom="0.75" header="0.3" footer="0.3"/>
  <pageSetup orientation="portrait" scale="93"/>
</worksheet>
</file>

<file path=xl/worksheets/sheet2.xml><?xml version="1.0" encoding="utf-8"?>
<worksheet xmlns="http://schemas.openxmlformats.org/spreadsheetml/2006/main">
  <sheetPr codeName="Sheet45">
    <outlinePr summaryBelow="1" summaryRight="1"/>
    <pageSetUpPr fitToPage="1"/>
  </sheetPr>
  <dimension ref="A1:K15"/>
  <sheetViews>
    <sheetView topLeftCell="A13" workbookViewId="0">
      <selection activeCell="C49" sqref="C49"/>
    </sheetView>
  </sheetViews>
  <sheetFormatPr baseColWidth="8" defaultRowHeight="14.4"/>
  <cols>
    <col width="9.109375" customWidth="1" style="18" min="1" max="1"/>
    <col hidden="1" width="18.88671875" customWidth="1" style="90" min="2" max="2"/>
    <col width="29.88671875" customWidth="1" style="90" min="3" max="3"/>
    <col width="10.109375" customWidth="1" style="90" min="5" max="5"/>
    <col width="6.6640625" customWidth="1" style="90" min="7" max="7"/>
  </cols>
  <sheetData>
    <row r="1" ht="20.1" customHeight="1" s="90">
      <c r="A1" s="128" t="n"/>
      <c r="C1" s="7" t="inlineStr">
        <is>
          <t>Saskatchewan</t>
        </is>
      </c>
    </row>
    <row r="2" ht="20.1" customFormat="1" customHeight="1" s="27" thickBot="1">
      <c r="A2" s="126" t="n"/>
      <c r="B2" s="50" t="n"/>
      <c r="C2" s="43" t="inlineStr">
        <is>
          <t>Vote Summary by Constituency Polling Division: Saskatoon Nutana</t>
        </is>
      </c>
      <c r="D2" s="50" t="n"/>
      <c r="E2" s="50" t="n"/>
      <c r="F2" s="50" t="n"/>
      <c r="G2" s="50" t="n"/>
      <c r="H2" s="100" t="n"/>
      <c r="I2" s="100" t="n"/>
      <c r="J2" s="100" t="inlineStr">
        <is>
          <t>Appendix VI</t>
        </is>
      </c>
    </row>
    <row r="3" ht="15" customFormat="1" customHeight="1" s="27">
      <c r="A3" s="101" t="inlineStr">
        <is>
          <t xml:space="preserve">   Polling Location</t>
        </is>
      </c>
      <c r="B3" s="121" t="n"/>
      <c r="C3" s="121" t="n"/>
      <c r="D3" s="69" t="n"/>
      <c r="E3" s="103" t="inlineStr">
        <is>
          <t>Votes Cast For</t>
        </is>
      </c>
      <c r="F3" s="121" t="n"/>
      <c r="G3" s="121" t="n"/>
      <c r="H3" s="120" t="inlineStr">
        <is>
          <t xml:space="preserve">Ballots  </t>
        </is>
      </c>
      <c r="I3" s="121" t="n"/>
      <c r="J3" s="121" t="n"/>
    </row>
    <row r="4" ht="24.75" customHeight="1" s="90">
      <c r="A4" s="111" t="inlineStr">
        <is>
          <t>Poll</t>
        </is>
      </c>
      <c r="B4" s="107" t="inlineStr">
        <is>
          <t>Poll Name</t>
        </is>
      </c>
      <c r="C4" s="107" t="inlineStr">
        <is>
          <t>Poll Name</t>
        </is>
      </c>
      <c r="D4" s="127" t="inlineStr">
        <is>
          <t>Eligible Voters</t>
        </is>
      </c>
      <c r="E4" s="46" t="inlineStr">
        <is>
          <t>Mark Bigland-Pritchard</t>
        </is>
      </c>
      <c r="F4" s="46" t="inlineStr">
        <is>
          <t>Zoria Broughton</t>
        </is>
      </c>
      <c r="G4" s="46" t="inlineStr">
        <is>
          <t>Cole Hogan</t>
        </is>
      </c>
      <c r="H4" s="46" t="inlineStr">
        <is>
          <t>Cathy. Sproule</t>
        </is>
      </c>
      <c r="I4" s="127" t="inlineStr">
        <is>
          <t>Total Counted</t>
        </is>
      </c>
      <c r="J4" s="118" t="inlineStr">
        <is>
          <t>Rejected</t>
        </is>
      </c>
      <c r="K4" s="114" t="n"/>
    </row>
    <row r="5" ht="11.1" customHeight="1" s="90">
      <c r="A5" s="129" t="n"/>
      <c r="B5" s="129" t="n"/>
      <c r="C5" s="129" t="n"/>
      <c r="D5" s="129" t="n"/>
      <c r="E5" s="48" t="inlineStr">
        <is>
          <t>GP</t>
        </is>
      </c>
      <c r="F5" s="48" t="inlineStr">
        <is>
          <t>SP</t>
        </is>
      </c>
      <c r="G5" s="48" t="inlineStr">
        <is>
          <t>LIB</t>
        </is>
      </c>
      <c r="H5" s="48" t="inlineStr">
        <is>
          <t>NDP</t>
        </is>
      </c>
      <c r="I5" s="129" t="n"/>
      <c r="J5" s="127" t="inlineStr">
        <is>
          <t>Ballots</t>
        </is>
      </c>
    </row>
    <row r="6" ht="11.1" customHeight="1" s="90">
      <c r="A6" s="77" t="n">
        <v>1</v>
      </c>
      <c r="B6" s="65" t="inlineStr">
        <is>
          <t>NUTANA COLLEGIATE</t>
        </is>
      </c>
      <c r="C6" s="65">
        <f>PROPER(B6)</f>
        <v/>
      </c>
      <c r="D6" s="46" t="n">
        <v>277</v>
      </c>
      <c r="E6" s="46" t="n">
        <v>13</v>
      </c>
      <c r="F6" s="46" t="n">
        <v>86</v>
      </c>
      <c r="G6" s="46" t="n">
        <v>7</v>
      </c>
      <c r="H6" s="46" t="n">
        <v>53</v>
      </c>
      <c r="I6" s="46">
        <f>SUM(E6:H6)</f>
        <v/>
      </c>
      <c r="J6" s="46" t="n">
        <v>0</v>
      </c>
      <c r="K6" s="53" t="n"/>
    </row>
    <row r="7" ht="11.1" customHeight="1" s="90">
      <c r="A7" s="77" t="inlineStr">
        <is>
          <t>002A</t>
        </is>
      </c>
      <c r="B7" s="65" t="inlineStr">
        <is>
          <t>NUTANA COLLEGIATE</t>
        </is>
      </c>
      <c r="C7" s="65">
        <f>PROPER(B7)</f>
        <v/>
      </c>
      <c r="D7" s="46" t="n">
        <v>471</v>
      </c>
      <c r="E7" s="46" t="n">
        <v>7</v>
      </c>
      <c r="F7" s="46" t="n">
        <v>46</v>
      </c>
      <c r="G7" s="46" t="n">
        <v>7</v>
      </c>
      <c r="H7" s="46" t="n">
        <v>44</v>
      </c>
      <c r="I7" s="46">
        <f>SUM(E7:H7)</f>
        <v/>
      </c>
      <c r="J7" s="46" t="n">
        <v>0</v>
      </c>
      <c r="K7" s="53" t="n"/>
    </row>
    <row r="8" ht="11.1" customHeight="1" s="90">
      <c r="A8" s="77" t="inlineStr">
        <is>
          <t>002B</t>
        </is>
      </c>
      <c r="B8" s="65" t="inlineStr">
        <is>
          <t>NUTANA COLLEGIATE</t>
        </is>
      </c>
      <c r="C8" s="65">
        <f>PROPER(B8)</f>
        <v/>
      </c>
      <c r="D8" s="46" t="n">
        <v>473</v>
      </c>
      <c r="E8" s="46" t="n">
        <v>7</v>
      </c>
      <c r="F8" s="46" t="n">
        <v>42</v>
      </c>
      <c r="G8" s="46" t="n">
        <v>1</v>
      </c>
      <c r="H8" s="46" t="n">
        <v>64</v>
      </c>
      <c r="I8" s="46">
        <f>SUM(E8:H8)</f>
        <v/>
      </c>
      <c r="J8" s="46" t="n">
        <v>0</v>
      </c>
      <c r="K8" s="53" t="n"/>
    </row>
    <row r="9" ht="11.1" customHeight="1" s="90">
      <c r="A9" s="77" t="n">
        <v>3</v>
      </c>
      <c r="B9" s="65" t="inlineStr">
        <is>
          <t>NUTANA COLLEGIATE</t>
        </is>
      </c>
      <c r="C9" s="65">
        <f>PROPER(B9)</f>
        <v/>
      </c>
      <c r="D9" s="46" t="n">
        <v>252</v>
      </c>
      <c r="E9" s="46" t="n">
        <v>5</v>
      </c>
      <c r="F9" s="46" t="n">
        <v>52</v>
      </c>
      <c r="G9" s="46" t="n">
        <v>6</v>
      </c>
      <c r="H9" s="46" t="n">
        <v>88</v>
      </c>
      <c r="I9" s="46">
        <f>SUM(E9:H9)</f>
        <v/>
      </c>
      <c r="J9" s="46" t="n">
        <v>0</v>
      </c>
      <c r="K9" s="53" t="n"/>
    </row>
    <row r="10" ht="11.1" customHeight="1" s="90">
      <c r="A10" s="22" t="n"/>
      <c r="B10" s="5" t="inlineStr">
        <is>
          <t>Totals</t>
        </is>
      </c>
      <c r="C10" s="5" t="n"/>
      <c r="D10" s="85">
        <f>SUM(D6:D50)</f>
        <v/>
      </c>
      <c r="E10" s="85">
        <f>SUM(E6:E50)</f>
        <v/>
      </c>
      <c r="F10" s="85">
        <f>SUM(F6:F50)</f>
        <v/>
      </c>
      <c r="G10" s="85">
        <f>SUM(G6:G50)</f>
        <v/>
      </c>
      <c r="H10" s="85">
        <f>SUM(H6:H50)</f>
        <v/>
      </c>
      <c r="I10" s="85">
        <f>SUM(I6:I50)</f>
        <v/>
      </c>
      <c r="J10" s="85">
        <f>SUM(J6:J50)</f>
        <v/>
      </c>
    </row>
    <row r="11" ht="11.1" customHeight="1" s="90">
      <c r="A11" s="98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</row>
    <row r="12" ht="11.1" customHeight="1" s="90">
      <c r="A12" s="98" t="n"/>
      <c r="B12" s="27" t="n"/>
      <c r="C12" s="78" t="inlineStr">
        <is>
          <t>Candidate Elected - Catherine A. Sproule</t>
        </is>
      </c>
      <c r="D12" s="81" t="n"/>
      <c r="E12" s="81" t="n"/>
      <c r="F12" s="81" t="n"/>
      <c r="G12" s="81" t="n"/>
      <c r="H12" s="27" t="n"/>
      <c r="I12" s="27" t="n"/>
      <c r="J12" s="27" t="n"/>
    </row>
    <row r="13" ht="11.1" customHeight="1" s="90">
      <c r="A13" s="98" t="n"/>
      <c r="B13" s="27" t="n"/>
      <c r="C13" s="78" t="inlineStr">
        <is>
          <t>Plurality</t>
        </is>
      </c>
      <c r="D13" s="24">
        <f>H51-F51</f>
        <v/>
      </c>
      <c r="E13" s="81" t="n"/>
      <c r="F13" s="81" t="n"/>
      <c r="G13" s="81" t="n"/>
      <c r="H13" s="27" t="n"/>
      <c r="I13" s="27" t="n"/>
      <c r="J13" s="27" t="n"/>
    </row>
    <row r="14" ht="11.1" customHeight="1" s="90">
      <c r="A14" s="98" t="n"/>
      <c r="B14" s="27" t="n"/>
      <c r="C14" s="78" t="inlineStr">
        <is>
          <t>% Who Voted</t>
        </is>
      </c>
      <c r="D14" s="25">
        <f>I51/D51</f>
        <v/>
      </c>
      <c r="E14" s="81" t="n"/>
      <c r="F14" s="81" t="n"/>
      <c r="G14" s="81" t="n"/>
      <c r="H14" s="27" t="n"/>
      <c r="I14" s="27" t="n"/>
      <c r="J14" s="27" t="n"/>
    </row>
    <row r="15" ht="11.1" customHeight="1" s="90">
      <c r="A15" s="98" t="n"/>
      <c r="B15" s="27" t="n"/>
      <c r="C15" s="78" t="inlineStr">
        <is>
          <t>% By Party</t>
        </is>
      </c>
      <c r="D15" s="81" t="n"/>
      <c r="E15" s="26">
        <f>E51/$I$51</f>
        <v/>
      </c>
      <c r="F15" s="26">
        <f>F51/$I$51</f>
        <v/>
      </c>
      <c r="G15" s="26">
        <f>G51/$I$51</f>
        <v/>
      </c>
      <c r="H15" s="26">
        <f>H51/$I$51</f>
        <v/>
      </c>
      <c r="I15" s="26" t="n"/>
      <c r="J15" s="27" t="n"/>
    </row>
    <row r="16" ht="11.1" customHeight="1" s="90"/>
    <row r="17" ht="11.1" customHeight="1" s="90"/>
    <row r="18" ht="11.1" customHeight="1" s="90"/>
    <row r="19" ht="11.1" customHeight="1" s="90"/>
    <row r="20" ht="11.1" customHeight="1" s="90"/>
    <row r="21" ht="11.1" customHeight="1" s="90"/>
    <row r="22" ht="11.1" customHeight="1" s="90"/>
    <row r="23" ht="11.1" customHeight="1" s="90"/>
    <row r="24" ht="11.1" customHeight="1" s="90"/>
    <row r="25" ht="11.1" customHeight="1" s="90"/>
    <row r="26" ht="11.1" customHeight="1" s="90"/>
    <row r="27" ht="11.1" customHeight="1" s="90"/>
    <row r="28" ht="11.1" customHeight="1" s="90"/>
    <row r="29" ht="11.1" customHeight="1" s="90"/>
    <row r="30" ht="11.1" customHeight="1" s="90"/>
    <row r="31" ht="11.1" customHeight="1" s="90"/>
    <row r="32" ht="11.1" customHeight="1" s="90"/>
    <row r="33" ht="11.1" customHeight="1" s="90"/>
    <row r="34" ht="11.1" customHeight="1" s="90"/>
    <row r="35" ht="11.1" customHeight="1" s="90"/>
    <row r="36" ht="11.1" customHeight="1" s="90"/>
    <row r="37" ht="11.1" customHeight="1" s="90"/>
    <row r="38" ht="11.1" customHeight="1" s="90"/>
    <row r="39" ht="11.1" customHeight="1" s="90"/>
    <row r="40" ht="11.1" customHeight="1" s="90"/>
    <row r="41" ht="11.1" customHeight="1" s="90"/>
    <row r="42" ht="11.1" customHeight="1" s="90"/>
    <row r="43" ht="11.1" customHeight="1" s="90"/>
    <row r="44" ht="11.1" customHeight="1" s="90"/>
    <row r="45" ht="11.1" customHeight="1" s="90"/>
    <row r="46" ht="11.1" customHeight="1" s="90"/>
    <row r="47" ht="11.1" customHeight="1" s="90"/>
    <row r="48" ht="11.1" customHeight="1" s="90"/>
    <row r="49" ht="11.1" customHeight="1" s="90"/>
    <row r="50" ht="11.1" customHeight="1" s="90"/>
    <row r="51" ht="11.1" customHeight="1" s="90" thickBot="1"/>
    <row r="52" ht="11.1" customHeight="1" s="90"/>
    <row r="53" ht="11.1" customHeight="1" s="90"/>
    <row r="54" ht="11.1" customHeight="1" s="90"/>
    <row r="55" ht="11.1" customHeight="1" s="90"/>
    <row r="56" ht="11.1" customHeight="1" s="90"/>
    <row r="57" ht="11.1" customHeight="1" s="90"/>
  </sheetData>
  <mergeCells count="10">
    <mergeCell ref="B4:B5"/>
    <mergeCell ref="C4:C5"/>
    <mergeCell ref="A4:A5"/>
    <mergeCell ref="D4:D5"/>
    <mergeCell ref="I4:I5"/>
    <mergeCell ref="K4:K5"/>
    <mergeCell ref="A3:C3"/>
    <mergeCell ref="E3:G3"/>
    <mergeCell ref="H3:J3"/>
    <mergeCell ref="A1:A2"/>
  </mergeCells>
  <hyperlinks>
    <hyperlink xmlns:r="http://schemas.openxmlformats.org/officeDocument/2006/relationships" ref="A6" display="http://espree.elections.sk.ca/esResultsUnOfficialEdit.cfm?MODE=EDITINIT&amp;POLL=2009" r:id="rId1"/>
    <hyperlink xmlns:r="http://schemas.openxmlformats.org/officeDocument/2006/relationships" ref="A7" display="http://espree.elections.sk.ca/esResultsUnOfficialEdit.cfm?MODE=EDITINIT&amp;POLL=3362" r:id="rId2"/>
    <hyperlink xmlns:r="http://schemas.openxmlformats.org/officeDocument/2006/relationships" ref="A8" display="http://espree.elections.sk.ca/esResultsUnOfficialEdit.cfm?MODE=EDITINIT&amp;POLL=3363" r:id="rId3"/>
    <hyperlink xmlns:r="http://schemas.openxmlformats.org/officeDocument/2006/relationships" ref="A9" display="http://espree.elections.sk.ca/esResultsUnOfficialEdit.cfm?MODE=EDITINIT&amp;POLL=2011" r:id="rId4"/>
  </hyperlinks>
  <pageMargins left="0.7" right="0.7" top="0.75" bottom="0.75" header="0.3" footer="0.3"/>
  <pageSetup orientation="portrait" scale="8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dbogdon</dc:creator>
  <dcterms:created xsi:type="dcterms:W3CDTF">2012-05-02T14:03:49Z</dcterms:created>
  <dcterms:modified xsi:type="dcterms:W3CDTF">2026-10-02T20:43:27Z</dcterms:modified>
  <cp:lastModifiedBy>Colin, Jennifer</cp:lastModifiedBy>
  <cp:lastPrinted>2012-05-23T14:30:35Z</cp:lastPrinted>
</cp:coreProperties>
</file>